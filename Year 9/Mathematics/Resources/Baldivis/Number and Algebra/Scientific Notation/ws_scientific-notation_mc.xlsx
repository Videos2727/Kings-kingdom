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codeName="ThisWorkbook" autoCompressPictures="0"/>
  <bookViews>
    <workbookView xWindow="22760" yWindow="4880" windowWidth="20620" windowHeight="15220"/>
  </bookViews>
  <sheets>
    <sheet name="Start" sheetId="30" r:id="rId1"/>
    <sheet name="About" sheetId="41" r:id="rId2"/>
    <sheet name="Powers of 10" sheetId="16" r:id="rId3"/>
    <sheet name="Powers of 10 Part 2" sheetId="32" r:id="rId4"/>
    <sheet name="Powers of 10 Part 3" sheetId="34" r:id="rId5"/>
    <sheet name="Powers of 10 Part 4" sheetId="33" r:id="rId6"/>
    <sheet name="Powers of 10 Part 5" sheetId="35" r:id="rId7"/>
    <sheet name="Powers of 10 Part 6" sheetId="36" r:id="rId8"/>
    <sheet name="Scientific Notation Part 1" sheetId="37" r:id="rId9"/>
    <sheet name="Scientific Notation Part 2" sheetId="39" r:id="rId10"/>
    <sheet name="Scientific Notation Part 3" sheetId="38" r:id="rId11"/>
    <sheet name="Scientific Notation Part 4" sheetId="40" r:id="rId12"/>
    <sheet name="TOTAL" sheetId="29" r:id="rId13"/>
    <sheet name="super" sheetId="31" state="hidden" r:id="rId14"/>
  </sheets>
  <definedNames>
    <definedName name="asd">#REF!</definedName>
    <definedName name="Operations">#REF!</definedName>
    <definedName name="super">super!$B$1:$B$10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40" l="1"/>
  <c r="B12" i="38"/>
  <c r="B12" i="39"/>
  <c r="B12" i="37"/>
  <c r="B27" i="40"/>
  <c r="X27" i="40"/>
  <c r="U27" i="40"/>
  <c r="Y27" i="40"/>
  <c r="R27" i="40"/>
  <c r="T27" i="40"/>
  <c r="V27" i="40"/>
  <c r="C27" i="40"/>
  <c r="Q27" i="40"/>
  <c r="S27" i="40"/>
  <c r="Z27" i="40"/>
  <c r="T4" i="36"/>
  <c r="T6" i="36"/>
  <c r="T8" i="36"/>
  <c r="T10" i="36"/>
  <c r="T12" i="36"/>
  <c r="T14" i="36"/>
  <c r="M1" i="36"/>
  <c r="G15" i="29"/>
  <c r="T4" i="34"/>
  <c r="T6" i="34"/>
  <c r="T8" i="34"/>
  <c r="T10" i="34"/>
  <c r="T12" i="34"/>
  <c r="T14" i="34"/>
  <c r="M1" i="34"/>
  <c r="G9" i="29"/>
  <c r="Z18" i="40"/>
  <c r="Z4" i="40"/>
  <c r="Z6" i="40"/>
  <c r="Z8" i="40"/>
  <c r="Z10" i="40"/>
  <c r="Z12" i="40"/>
  <c r="Z14" i="40"/>
  <c r="Z16" i="40"/>
  <c r="Z20" i="40"/>
  <c r="Z22" i="40"/>
  <c r="P1" i="40"/>
  <c r="G23" i="29"/>
  <c r="Z4" i="38"/>
  <c r="Z6" i="38"/>
  <c r="Q8" i="38"/>
  <c r="Q10" i="38"/>
  <c r="Z12" i="38"/>
  <c r="Q12" i="38"/>
  <c r="Z14" i="38"/>
  <c r="Q14" i="38"/>
  <c r="Z16" i="38"/>
  <c r="Q16" i="38"/>
  <c r="Z18" i="38"/>
  <c r="Q18" i="38"/>
  <c r="Z20" i="38"/>
  <c r="Q20" i="38"/>
  <c r="Z22" i="38"/>
  <c r="Q22" i="38"/>
  <c r="P1" i="38"/>
  <c r="G21" i="29"/>
  <c r="Z4" i="39"/>
  <c r="Z6" i="39"/>
  <c r="Z8" i="39"/>
  <c r="Z10" i="39"/>
  <c r="Z12" i="39"/>
  <c r="Z14" i="39"/>
  <c r="Z16" i="39"/>
  <c r="Z18" i="39"/>
  <c r="Z20" i="39"/>
  <c r="Z22" i="39"/>
  <c r="P1" i="39"/>
  <c r="G19" i="29"/>
  <c r="Z4" i="37"/>
  <c r="Z6" i="37"/>
  <c r="Q8" i="37"/>
  <c r="Q10" i="37"/>
  <c r="Z12" i="37"/>
  <c r="Q12" i="37"/>
  <c r="Z14" i="37"/>
  <c r="Q14" i="37"/>
  <c r="Z16" i="37"/>
  <c r="Q16" i="37"/>
  <c r="Z18" i="37"/>
  <c r="Q18" i="37"/>
  <c r="Z20" i="37"/>
  <c r="Q20" i="37"/>
  <c r="Z22" i="37"/>
  <c r="Q22" i="37"/>
  <c r="P1" i="37"/>
  <c r="G17" i="29"/>
  <c r="Q4" i="35"/>
  <c r="Q6" i="35"/>
  <c r="Q8" i="35"/>
  <c r="Q10" i="35"/>
  <c r="Q12" i="35"/>
  <c r="Q14" i="35"/>
  <c r="P1" i="35"/>
  <c r="G13" i="29"/>
  <c r="W4" i="33"/>
  <c r="Q4" i="33"/>
  <c r="W6" i="33"/>
  <c r="Q6" i="33"/>
  <c r="W8" i="33"/>
  <c r="Q8" i="33"/>
  <c r="W10" i="33"/>
  <c r="Q10" i="33"/>
  <c r="W12" i="33"/>
  <c r="Q12" i="33"/>
  <c r="W14" i="33"/>
  <c r="Q14" i="33"/>
  <c r="P1" i="33"/>
  <c r="G11" i="29"/>
  <c r="Q4" i="32"/>
  <c r="Q6" i="32"/>
  <c r="Q8" i="32"/>
  <c r="Q10" i="32"/>
  <c r="Q12" i="32"/>
  <c r="Q14" i="32"/>
  <c r="P1" i="32"/>
  <c r="G7" i="29"/>
  <c r="Q4" i="16"/>
  <c r="Q6" i="16"/>
  <c r="Q8" i="16"/>
  <c r="Q10" i="16"/>
  <c r="Q12" i="16"/>
  <c r="Q14" i="16"/>
  <c r="P1" i="16"/>
  <c r="G5" i="29"/>
  <c r="I23" i="29"/>
  <c r="I21" i="29"/>
  <c r="C22" i="40"/>
  <c r="B14" i="40"/>
  <c r="B16" i="40"/>
  <c r="B18" i="40"/>
  <c r="B20" i="40"/>
  <c r="B22" i="40"/>
  <c r="C20" i="40"/>
  <c r="C18" i="40"/>
  <c r="C16" i="40"/>
  <c r="C14" i="40"/>
  <c r="C12" i="40"/>
  <c r="C10" i="40"/>
  <c r="B4" i="40"/>
  <c r="B6" i="40"/>
  <c r="B8" i="40"/>
  <c r="B10" i="40"/>
  <c r="C8" i="40"/>
  <c r="C6" i="40"/>
  <c r="C4" i="40"/>
  <c r="D1" i="40"/>
  <c r="E10" i="38"/>
  <c r="E8" i="38"/>
  <c r="H6" i="38"/>
  <c r="H4" i="38"/>
  <c r="X27" i="38"/>
  <c r="U27" i="38"/>
  <c r="Y27" i="38"/>
  <c r="R27" i="38"/>
  <c r="T27" i="38"/>
  <c r="V27" i="38"/>
  <c r="S27" i="38"/>
  <c r="S22" i="38"/>
  <c r="S20" i="38"/>
  <c r="S18" i="38"/>
  <c r="S16" i="38"/>
  <c r="S14" i="38"/>
  <c r="S12" i="38"/>
  <c r="S10" i="38"/>
  <c r="S8" i="38"/>
  <c r="C22" i="39"/>
  <c r="C20" i="39"/>
  <c r="C18" i="39"/>
  <c r="C16" i="39"/>
  <c r="C14" i="39"/>
  <c r="C12" i="39"/>
  <c r="C10" i="39"/>
  <c r="C8" i="39"/>
  <c r="C6" i="39"/>
  <c r="C4" i="39"/>
  <c r="P4" i="36"/>
  <c r="C4" i="36"/>
  <c r="X27" i="39"/>
  <c r="U27" i="39"/>
  <c r="Y27" i="39"/>
  <c r="Z27" i="39"/>
  <c r="R27" i="39"/>
  <c r="T27" i="39"/>
  <c r="V27" i="39"/>
  <c r="S27" i="39"/>
  <c r="Q27" i="39"/>
  <c r="C27" i="39"/>
  <c r="B27" i="39"/>
  <c r="B14" i="39"/>
  <c r="B16" i="39"/>
  <c r="B18" i="39"/>
  <c r="B20" i="39"/>
  <c r="B22" i="39"/>
  <c r="B4" i="39"/>
  <c r="B6" i="39"/>
  <c r="B8" i="39"/>
  <c r="B10" i="39"/>
  <c r="D1" i="39"/>
  <c r="Z27" i="38"/>
  <c r="Q27" i="38"/>
  <c r="C27" i="38"/>
  <c r="B27" i="38"/>
  <c r="C22" i="38"/>
  <c r="B14" i="38"/>
  <c r="B16" i="38"/>
  <c r="B18" i="38"/>
  <c r="B20" i="38"/>
  <c r="B22" i="38"/>
  <c r="C20" i="38"/>
  <c r="C18" i="38"/>
  <c r="C16" i="38"/>
  <c r="C14" i="38"/>
  <c r="C12" i="38"/>
  <c r="C10" i="38"/>
  <c r="B4" i="38"/>
  <c r="B6" i="38"/>
  <c r="B8" i="38"/>
  <c r="B10" i="38"/>
  <c r="C8" i="38"/>
  <c r="C6" i="38"/>
  <c r="C4" i="38"/>
  <c r="D1" i="38"/>
  <c r="C10" i="37"/>
  <c r="B4" i="37"/>
  <c r="B6" i="37"/>
  <c r="B8" i="37"/>
  <c r="B10" i="37"/>
  <c r="C8" i="37"/>
  <c r="C6" i="37"/>
  <c r="C4" i="37"/>
  <c r="X27" i="37"/>
  <c r="U27" i="37"/>
  <c r="Y27" i="37"/>
  <c r="Z27" i="37"/>
  <c r="R27" i="37"/>
  <c r="T27" i="37"/>
  <c r="V27" i="37"/>
  <c r="S27" i="37"/>
  <c r="Q27" i="37"/>
  <c r="C27" i="37"/>
  <c r="B27" i="37"/>
  <c r="C22" i="37"/>
  <c r="C20" i="37"/>
  <c r="C18" i="37"/>
  <c r="C16" i="37"/>
  <c r="C14" i="37"/>
  <c r="B14" i="37"/>
  <c r="B16" i="37"/>
  <c r="B18" i="37"/>
  <c r="B20" i="37"/>
  <c r="B22" i="37"/>
  <c r="C12" i="37"/>
  <c r="D1" i="37"/>
  <c r="S14" i="36"/>
  <c r="S12" i="36"/>
  <c r="S10" i="36"/>
  <c r="S8" i="36"/>
  <c r="S6" i="36"/>
  <c r="S4" i="36"/>
  <c r="P14" i="36"/>
  <c r="P12" i="36"/>
  <c r="P10" i="36"/>
  <c r="P8" i="36"/>
  <c r="P6" i="36"/>
  <c r="C14" i="36"/>
  <c r="B6" i="36"/>
  <c r="B8" i="36"/>
  <c r="B10" i="36"/>
  <c r="B12" i="36"/>
  <c r="B14" i="36"/>
  <c r="C12" i="36"/>
  <c r="C10" i="36"/>
  <c r="C8" i="36"/>
  <c r="C6" i="36"/>
  <c r="D1" i="36"/>
  <c r="T14" i="35"/>
  <c r="S14" i="35"/>
  <c r="C14" i="35"/>
  <c r="T12" i="35"/>
  <c r="S12" i="35"/>
  <c r="C12" i="35"/>
  <c r="T10" i="35"/>
  <c r="S10" i="35"/>
  <c r="C10" i="35"/>
  <c r="T8" i="35"/>
  <c r="S8" i="35"/>
  <c r="C8" i="35"/>
  <c r="T6" i="35"/>
  <c r="S6" i="35"/>
  <c r="C6" i="35"/>
  <c r="T4" i="35"/>
  <c r="S4" i="35"/>
  <c r="B6" i="35"/>
  <c r="B8" i="35"/>
  <c r="B10" i="35"/>
  <c r="B12" i="35"/>
  <c r="B14" i="35"/>
  <c r="C4" i="35"/>
  <c r="D1" i="35"/>
  <c r="C14" i="34"/>
  <c r="C12" i="34"/>
  <c r="C10" i="34"/>
  <c r="C8" i="34"/>
  <c r="C6" i="34"/>
  <c r="C4" i="34"/>
  <c r="B6" i="34"/>
  <c r="B8" i="34"/>
  <c r="B10" i="34"/>
  <c r="B12" i="34"/>
  <c r="B14" i="34"/>
  <c r="D1" i="34"/>
  <c r="T14" i="33"/>
  <c r="V14" i="33"/>
  <c r="S14" i="33"/>
  <c r="C14" i="33"/>
  <c r="T12" i="33"/>
  <c r="V12" i="33"/>
  <c r="S12" i="33"/>
  <c r="C12" i="33"/>
  <c r="T10" i="33"/>
  <c r="V10" i="33"/>
  <c r="S10" i="33"/>
  <c r="C10" i="33"/>
  <c r="T8" i="33"/>
  <c r="V8" i="33"/>
  <c r="S8" i="33"/>
  <c r="C8" i="33"/>
  <c r="T6" i="33"/>
  <c r="V6" i="33"/>
  <c r="S6" i="33"/>
  <c r="C6" i="33"/>
  <c r="T4" i="33"/>
  <c r="V4" i="33"/>
  <c r="C4" i="33"/>
  <c r="B6" i="33"/>
  <c r="B8" i="33"/>
  <c r="B10" i="33"/>
  <c r="B12" i="33"/>
  <c r="B14" i="33"/>
  <c r="S4" i="33"/>
  <c r="D1" i="33"/>
  <c r="T14" i="32"/>
  <c r="S14" i="32"/>
  <c r="C14" i="32"/>
  <c r="T12" i="32"/>
  <c r="S12" i="32"/>
  <c r="C12" i="32"/>
  <c r="T10" i="32"/>
  <c r="S10" i="32"/>
  <c r="C10" i="32"/>
  <c r="T8" i="32"/>
  <c r="S8" i="32"/>
  <c r="C8" i="32"/>
  <c r="T6" i="32"/>
  <c r="S6" i="32"/>
  <c r="C6" i="32"/>
  <c r="T4" i="32"/>
  <c r="C4" i="32"/>
  <c r="B6" i="32"/>
  <c r="B8" i="32"/>
  <c r="B10" i="32"/>
  <c r="B12" i="32"/>
  <c r="B14" i="32"/>
  <c r="S4" i="32"/>
  <c r="D1" i="32"/>
  <c r="B6" i="16"/>
  <c r="B8" i="16"/>
  <c r="B10" i="16"/>
  <c r="B12" i="16"/>
  <c r="B14" i="16"/>
  <c r="T14" i="16"/>
  <c r="S14" i="16"/>
  <c r="C14" i="16"/>
  <c r="S12" i="16"/>
  <c r="S10" i="16"/>
  <c r="S8" i="16"/>
  <c r="S6" i="16"/>
  <c r="S4" i="16"/>
  <c r="T12" i="16"/>
  <c r="C12" i="16"/>
  <c r="T10" i="16"/>
  <c r="C10" i="16"/>
  <c r="T8" i="16"/>
  <c r="C8" i="16"/>
  <c r="C6" i="16"/>
  <c r="T4" i="16"/>
  <c r="F6" i="31"/>
  <c r="I5" i="29"/>
  <c r="I7" i="29"/>
  <c r="I9" i="29"/>
  <c r="I11" i="29"/>
  <c r="I13" i="29"/>
  <c r="I15" i="29"/>
  <c r="I17" i="29"/>
  <c r="I19" i="29"/>
  <c r="L2" i="29"/>
  <c r="M2" i="29"/>
  <c r="J2" i="29"/>
  <c r="I2" i="29"/>
  <c r="D1" i="29"/>
  <c r="D1" i="16"/>
  <c r="C4" i="16"/>
</calcChain>
</file>

<file path=xl/sharedStrings.xml><?xml version="1.0" encoding="utf-8"?>
<sst xmlns="http://schemas.openxmlformats.org/spreadsheetml/2006/main" count="226" uniqueCount="51">
  <si>
    <t>Your score:</t>
  </si>
  <si>
    <t>=</t>
  </si>
  <si>
    <t>²</t>
  </si>
  <si>
    <t>Next</t>
  </si>
  <si>
    <t>Previous</t>
  </si>
  <si>
    <t>Score</t>
  </si>
  <si>
    <t>Out of</t>
  </si>
  <si>
    <t>Completed:</t>
  </si>
  <si>
    <t>START</t>
  </si>
  <si>
    <t>Back to Start</t>
  </si>
  <si>
    <t>⁹</t>
  </si>
  <si>
    <t>⁸</t>
  </si>
  <si>
    <t>⁷</t>
  </si>
  <si>
    <t>⁶</t>
  </si>
  <si>
    <t>⁵</t>
  </si>
  <si>
    <t>⁴</t>
  </si>
  <si>
    <t>³</t>
  </si>
  <si>
    <t>¹</t>
  </si>
  <si>
    <t>⁰</t>
  </si>
  <si>
    <t>Write the value of:</t>
  </si>
  <si>
    <t>Write as a power of 10:</t>
  </si>
  <si>
    <t>×</t>
  </si>
  <si>
    <t>Write as a basic numeral</t>
  </si>
  <si>
    <t>Write in decimal form</t>
  </si>
  <si>
    <t>Write in scientific notation:</t>
  </si>
  <si>
    <t>Write as a basic number:</t>
  </si>
  <si>
    <t>⁻⁴</t>
  </si>
  <si>
    <t>⁻⁶</t>
  </si>
  <si>
    <t>⁻⁵</t>
  </si>
  <si>
    <t>⁻³</t>
  </si>
  <si>
    <t>Powers of 10 and Scientific Notation</t>
  </si>
  <si>
    <t>Powers of 10</t>
  </si>
  <si>
    <t>Powers of 10 Part 2</t>
  </si>
  <si>
    <t>Powers of 10 Part 3</t>
  </si>
  <si>
    <t>Powers of 10 Part 4</t>
  </si>
  <si>
    <t>Powers of 10 Part 5</t>
  </si>
  <si>
    <t>Powers of 10 Part 6</t>
  </si>
  <si>
    <t>Scientific Notation Part 1</t>
  </si>
  <si>
    <t>Scientific Notation Part 2</t>
  </si>
  <si>
    <t>Scientific Notation Part 3</t>
  </si>
  <si>
    <t>Scientific Notation Part 4</t>
  </si>
  <si>
    <t>About</t>
  </si>
  <si>
    <t>&lt; Start</t>
  </si>
  <si>
    <t>Developed by Simon Job</t>
  </si>
  <si>
    <t>Email</t>
  </si>
  <si>
    <t>@simonjob on Twitter</t>
  </si>
  <si>
    <t>http://mathsclass.net</t>
  </si>
  <si>
    <t>Creative Commons Licence</t>
  </si>
  <si>
    <t>Attribution-Noncommercial-Share Alike</t>
  </si>
  <si>
    <t>CC BY-NC-SA</t>
  </si>
  <si>
    <t>This licence lets others distribute, remix and build upon the work, but only if it is for non-commercial purposes, they credit the original creator/s (and any other nominated parties) and they license their derivative works under the same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</si>
</sst>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 ###\ ##0"/>
    <numFmt numFmtId="165" formatCode="0\)"/>
    <numFmt numFmtId="166" formatCode="###\ ###\ ###\ ##0"/>
    <numFmt numFmtId="167" formatCode="0.#########"/>
    <numFmt numFmtId="168" formatCode="#.###"/>
  </numFmts>
  <fonts count="55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6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rgb="FF3366FF"/>
      <name val="Arial"/>
    </font>
    <font>
      <b/>
      <sz val="20"/>
      <name val="Arial"/>
    </font>
    <font>
      <sz val="20"/>
      <name val="Arial"/>
    </font>
    <font>
      <b/>
      <sz val="18"/>
      <color theme="1"/>
      <name val="Arial"/>
    </font>
    <font>
      <u/>
      <sz val="11"/>
      <color theme="10"/>
      <name val="Calibri"/>
      <family val="2"/>
      <scheme val="minor"/>
    </font>
    <font>
      <u/>
      <sz val="14"/>
      <color theme="6" tint="0.59999389629810485"/>
      <name val="Arial"/>
    </font>
    <font>
      <sz val="24"/>
      <color theme="9" tint="0.59999389629810485"/>
      <name val="Calibri"/>
      <scheme val="minor"/>
    </font>
    <font>
      <u/>
      <sz val="12"/>
      <color theme="0"/>
      <name val="Calibri"/>
      <scheme val="minor"/>
    </font>
    <font>
      <sz val="14"/>
      <color theme="1"/>
      <name val="Calibri"/>
      <scheme val="minor"/>
    </font>
    <font>
      <sz val="18"/>
      <color theme="1"/>
      <name val="Calibri"/>
      <scheme val="minor"/>
    </font>
    <font>
      <b/>
      <sz val="14"/>
      <color theme="1"/>
      <name val="Calibri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  <scheme val="minor"/>
    </font>
    <font>
      <sz val="22"/>
      <color rgb="FF3366FF"/>
      <name val="Calibri"/>
      <scheme val="minor"/>
    </font>
    <font>
      <sz val="12"/>
      <color theme="0" tint="-4.9989318521683403E-2"/>
      <name val="Calibri"/>
      <family val="2"/>
      <scheme val="minor"/>
    </font>
    <font>
      <b/>
      <u/>
      <sz val="18"/>
      <color theme="0" tint="-4.9989318521683403E-2"/>
      <name val="Calibri"/>
      <scheme val="minor"/>
    </font>
    <font>
      <b/>
      <sz val="72"/>
      <color rgb="FF008000"/>
      <name val="Arial"/>
    </font>
    <font>
      <sz val="18"/>
      <color theme="4" tint="-0.499984740745262"/>
      <name val="Calibri"/>
      <scheme val="minor"/>
    </font>
    <font>
      <b/>
      <sz val="24"/>
      <color rgb="FF3366FF"/>
      <name val="Calibri"/>
      <scheme val="minor"/>
    </font>
    <font>
      <u/>
      <sz val="12"/>
      <color theme="10"/>
      <name val="Arial"/>
    </font>
    <font>
      <u/>
      <sz val="12"/>
      <color theme="0"/>
      <name val="Arial"/>
    </font>
    <font>
      <b/>
      <sz val="18"/>
      <color theme="1"/>
      <name val="Arial"/>
      <family val="2"/>
    </font>
    <font>
      <sz val="12"/>
      <name val="Arial"/>
      <family val="2"/>
    </font>
    <font>
      <b/>
      <sz val="18"/>
      <color theme="1"/>
      <name val="Cambria"/>
      <family val="1"/>
      <scheme val="major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sz val="14"/>
      <color theme="1"/>
      <name val="Arial"/>
      <family val="2"/>
    </font>
    <font>
      <vertAlign val="superscript"/>
      <sz val="18"/>
      <name val="Cambria"/>
      <family val="1"/>
      <scheme val="major"/>
    </font>
    <font>
      <sz val="18"/>
      <color rgb="FF008000"/>
      <name val="Calibri"/>
      <scheme val="minor"/>
    </font>
    <font>
      <sz val="22"/>
      <color rgb="FF008000"/>
      <name val="Calibri"/>
      <scheme val="minor"/>
    </font>
    <font>
      <sz val="12"/>
      <color theme="0"/>
      <name val="Arial"/>
    </font>
    <font>
      <sz val="16"/>
      <color theme="0"/>
      <name val="Arial"/>
    </font>
    <font>
      <sz val="12"/>
      <color theme="0" tint="-4.9989318521683403E-2"/>
      <name val="Arial"/>
    </font>
    <font>
      <b/>
      <sz val="26"/>
      <color rgb="FFFFFB97"/>
      <name val="Arial"/>
    </font>
    <font>
      <u/>
      <sz val="14"/>
      <color theme="0"/>
      <name val="Calibri"/>
    </font>
    <font>
      <u/>
      <sz val="11"/>
      <color theme="0"/>
      <name val="Arial"/>
    </font>
    <font>
      <i/>
      <sz val="12"/>
      <color theme="0"/>
      <name val="Arial"/>
    </font>
    <font>
      <b/>
      <sz val="12"/>
      <color theme="0"/>
      <name val="Arial"/>
    </font>
    <font>
      <b/>
      <u/>
      <sz val="12"/>
      <color theme="0"/>
      <name val="Arial"/>
    </font>
    <font>
      <b/>
      <u/>
      <sz val="12"/>
      <color theme="0"/>
      <name val="Arial"/>
      <family val="2"/>
    </font>
    <font>
      <b/>
      <sz val="20"/>
      <color theme="0"/>
      <name val="Arial"/>
      <family val="2"/>
    </font>
    <font>
      <b/>
      <sz val="18"/>
      <color theme="0"/>
      <name val="Arial"/>
      <family val="2"/>
    </font>
    <font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F525C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C3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F525C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D656F"/>
        <bgColor indexed="64"/>
      </patternFill>
    </fill>
  </fills>
  <borders count="3">
    <border>
      <left/>
      <right/>
      <top/>
      <bottom/>
      <diagonal/>
    </border>
    <border>
      <left style="medium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</borders>
  <cellStyleXfs count="359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</cellStyleXfs>
  <cellXfs count="106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20" fillId="4" borderId="0" xfId="1" applyFont="1" applyFill="1"/>
    <xf numFmtId="0" fontId="11" fillId="4" borderId="0" xfId="1" applyFont="1" applyFill="1"/>
    <xf numFmtId="0" fontId="22" fillId="5" borderId="0" xfId="1" applyFont="1" applyFill="1"/>
    <xf numFmtId="0" fontId="11" fillId="5" borderId="0" xfId="1" applyFont="1" applyFill="1"/>
    <xf numFmtId="0" fontId="11" fillId="4" borderId="0" xfId="1" applyFont="1" applyFill="1" applyAlignment="1">
      <alignment horizontal="center"/>
    </xf>
    <xf numFmtId="0" fontId="10" fillId="7" borderId="0" xfId="351" applyFont="1" applyFill="1"/>
    <xf numFmtId="0" fontId="10" fillId="8" borderId="0" xfId="351" applyFont="1" applyFill="1"/>
    <xf numFmtId="0" fontId="10" fillId="3" borderId="0" xfId="351" applyFont="1" applyFill="1"/>
    <xf numFmtId="0" fontId="26" fillId="7" borderId="0" xfId="351" applyFont="1" applyFill="1"/>
    <xf numFmtId="0" fontId="26" fillId="8" borderId="0" xfId="351" applyFont="1" applyFill="1"/>
    <xf numFmtId="0" fontId="26" fillId="3" borderId="0" xfId="351" applyFont="1" applyFill="1"/>
    <xf numFmtId="0" fontId="27" fillId="8" borderId="0" xfId="351" applyFont="1" applyFill="1"/>
    <xf numFmtId="0" fontId="11" fillId="10" borderId="0" xfId="1" applyFont="1" applyFill="1"/>
    <xf numFmtId="0" fontId="11" fillId="10" borderId="0" xfId="1" applyFont="1" applyFill="1" applyAlignment="1">
      <alignment horizontal="right"/>
    </xf>
    <xf numFmtId="9" fontId="25" fillId="10" borderId="0" xfId="142" applyFont="1" applyFill="1"/>
    <xf numFmtId="0" fontId="25" fillId="10" borderId="0" xfId="1" applyFont="1" applyFill="1"/>
    <xf numFmtId="0" fontId="29" fillId="11" borderId="0" xfId="1" applyFont="1" applyFill="1" applyAlignment="1">
      <alignment horizontal="right" vertical="center"/>
    </xf>
    <xf numFmtId="0" fontId="17" fillId="10" borderId="0" xfId="348" applyFont="1" applyFill="1" applyProtection="1"/>
    <xf numFmtId="0" fontId="18" fillId="10" borderId="0" xfId="1" applyFont="1" applyFill="1"/>
    <xf numFmtId="0" fontId="19" fillId="10" borderId="0" xfId="348" applyFont="1" applyFill="1" applyAlignment="1" applyProtection="1">
      <alignment horizontal="center" vertical="center"/>
    </xf>
    <xf numFmtId="0" fontId="30" fillId="10" borderId="0" xfId="1" applyFont="1" applyFill="1"/>
    <xf numFmtId="0" fontId="6" fillId="10" borderId="0" xfId="345" applyFill="1" applyAlignment="1" applyProtection="1">
      <alignment horizontal="center" vertical="center"/>
      <protection locked="0"/>
    </xf>
    <xf numFmtId="0" fontId="31" fillId="13" borderId="1" xfId="345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0" fontId="6" fillId="14" borderId="0" xfId="345" applyFill="1" applyAlignment="1" applyProtection="1">
      <alignment vertical="center"/>
      <protection locked="0"/>
    </xf>
    <xf numFmtId="0" fontId="12" fillId="14" borderId="0" xfId="0" applyFont="1" applyFill="1" applyAlignment="1">
      <alignment vertical="center"/>
    </xf>
    <xf numFmtId="0" fontId="13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vertical="center"/>
    </xf>
    <xf numFmtId="0" fontId="5" fillId="14" borderId="0" xfId="0" applyFont="1" applyFill="1" applyAlignment="1">
      <alignment vertical="center"/>
    </xf>
    <xf numFmtId="9" fontId="3" fillId="14" borderId="0" xfId="0" applyNumberFormat="1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3" fillId="14" borderId="0" xfId="0" applyFont="1" applyFill="1" applyAlignment="1">
      <alignment horizontal="left" vertical="center"/>
    </xf>
    <xf numFmtId="0" fontId="34" fillId="0" borderId="0" xfId="0" applyFont="1"/>
    <xf numFmtId="0" fontId="8" fillId="4" borderId="0" xfId="0" quotePrefix="1" applyFont="1" applyFill="1" applyAlignment="1">
      <alignment horizontal="center" vertical="center"/>
    </xf>
    <xf numFmtId="0" fontId="35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36" fillId="4" borderId="0" xfId="0" applyFont="1" applyFill="1" applyAlignment="1">
      <alignment vertical="center"/>
    </xf>
    <xf numFmtId="0" fontId="36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left" vertical="center"/>
    </xf>
    <xf numFmtId="164" fontId="37" fillId="4" borderId="2" xfId="0" applyNumberFormat="1" applyFont="1" applyFill="1" applyBorder="1" applyAlignment="1" applyProtection="1">
      <alignment vertical="center" wrapText="1"/>
      <protection locked="0"/>
    </xf>
    <xf numFmtId="165" fontId="38" fillId="4" borderId="0" xfId="0" applyNumberFormat="1" applyFont="1" applyFill="1" applyAlignment="1">
      <alignment horizontal="right" vertical="center"/>
    </xf>
    <xf numFmtId="164" fontId="35" fillId="4" borderId="0" xfId="0" applyNumberFormat="1" applyFont="1" applyFill="1" applyAlignment="1">
      <alignment horizontal="right" vertical="center"/>
    </xf>
    <xf numFmtId="164" fontId="39" fillId="4" borderId="2" xfId="0" applyNumberFormat="1" applyFont="1" applyFill="1" applyBorder="1" applyAlignment="1" applyProtection="1">
      <alignment horizontal="left" vertical="center" wrapText="1"/>
      <protection locked="0"/>
    </xf>
    <xf numFmtId="0" fontId="37" fillId="4" borderId="0" xfId="0" applyFont="1" applyFill="1" applyAlignment="1">
      <alignment horizontal="center" vertical="center"/>
    </xf>
    <xf numFmtId="164" fontId="37" fillId="4" borderId="2" xfId="0" applyNumberFormat="1" applyFont="1" applyFill="1" applyBorder="1" applyAlignment="1" applyProtection="1">
      <alignment horizontal="center" vertical="center" wrapText="1"/>
      <protection locked="0"/>
    </xf>
    <xf numFmtId="166" fontId="37" fillId="4" borderId="2" xfId="0" applyNumberFormat="1" applyFont="1" applyFill="1" applyBorder="1" applyAlignment="1" applyProtection="1">
      <alignment horizontal="center" vertical="center" wrapText="1"/>
      <protection locked="0"/>
    </xf>
    <xf numFmtId="167" fontId="37" fillId="4" borderId="2" xfId="0" applyNumberFormat="1" applyFont="1" applyFill="1" applyBorder="1" applyAlignment="1" applyProtection="1">
      <alignment vertical="center" wrapText="1"/>
      <protection locked="0"/>
    </xf>
    <xf numFmtId="166" fontId="35" fillId="4" borderId="0" xfId="0" applyNumberFormat="1" applyFont="1" applyFill="1" applyAlignment="1">
      <alignment horizontal="right" vertical="center"/>
    </xf>
    <xf numFmtId="168" fontId="37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1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167" fontId="35" fillId="4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15" borderId="0" xfId="345" applyFill="1" applyAlignment="1" applyProtection="1">
      <alignment horizontal="center" vertical="center"/>
      <protection locked="0"/>
    </xf>
    <xf numFmtId="167" fontId="37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10" borderId="0" xfId="1" applyFont="1" applyFill="1" applyAlignment="1"/>
    <xf numFmtId="0" fontId="21" fillId="10" borderId="0" xfId="1" applyFont="1" applyFill="1" applyAlignment="1">
      <alignment vertical="center"/>
    </xf>
    <xf numFmtId="0" fontId="40" fillId="10" borderId="0" xfId="1" applyFont="1" applyFill="1" applyAlignment="1">
      <alignment vertical="center"/>
    </xf>
    <xf numFmtId="0" fontId="41" fillId="10" borderId="0" xfId="1" applyFont="1" applyFill="1"/>
    <xf numFmtId="164" fontId="39" fillId="4" borderId="0" xfId="0" applyNumberFormat="1" applyFont="1" applyFill="1" applyBorder="1" applyAlignment="1" applyProtection="1">
      <alignment horizontal="left" vertical="center" wrapText="1"/>
    </xf>
    <xf numFmtId="168" fontId="37" fillId="4" borderId="0" xfId="0" applyNumberFormat="1" applyFont="1" applyFill="1" applyBorder="1" applyAlignment="1" applyProtection="1">
      <alignment horizontal="right" vertical="center" wrapText="1"/>
    </xf>
    <xf numFmtId="0" fontId="5" fillId="4" borderId="0" xfId="0" applyFont="1" applyFill="1" applyBorder="1" applyAlignment="1" applyProtection="1">
      <alignment horizontal="left" vertical="center"/>
    </xf>
    <xf numFmtId="0" fontId="6" fillId="14" borderId="0" xfId="345" applyFill="1" applyAlignment="1" applyProtection="1">
      <alignment vertical="center"/>
    </xf>
    <xf numFmtId="164" fontId="37" fillId="4" borderId="0" xfId="0" applyNumberFormat="1" applyFont="1" applyFill="1" applyBorder="1" applyAlignment="1" applyProtection="1">
      <alignment horizontal="left" vertical="center" wrapText="1"/>
    </xf>
    <xf numFmtId="0" fontId="42" fillId="16" borderId="0" xfId="355" applyFont="1" applyFill="1"/>
    <xf numFmtId="0" fontId="42" fillId="17" borderId="0" xfId="355" applyFont="1" applyFill="1"/>
    <xf numFmtId="0" fontId="43" fillId="17" borderId="0" xfId="355" applyFont="1" applyFill="1"/>
    <xf numFmtId="0" fontId="44" fillId="16" borderId="0" xfId="355" applyFont="1" applyFill="1"/>
    <xf numFmtId="0" fontId="44" fillId="17" borderId="0" xfId="355" applyFont="1" applyFill="1"/>
    <xf numFmtId="0" fontId="45" fillId="17" borderId="0" xfId="355" applyFont="1" applyFill="1"/>
    <xf numFmtId="0" fontId="32" fillId="17" borderId="0" xfId="350" applyFont="1" applyFill="1"/>
    <xf numFmtId="0" fontId="32" fillId="17" borderId="0" xfId="350" applyFont="1" applyFill="1" applyAlignment="1">
      <alignment horizontal="center"/>
    </xf>
    <xf numFmtId="0" fontId="47" fillId="17" borderId="0" xfId="350" applyFont="1" applyFill="1" applyAlignment="1" applyProtection="1">
      <alignment horizontal="center"/>
      <protection locked="0"/>
    </xf>
    <xf numFmtId="0" fontId="48" fillId="17" borderId="0" xfId="355" applyFont="1" applyFill="1"/>
    <xf numFmtId="0" fontId="42" fillId="17" borderId="0" xfId="355" applyFont="1" applyFill="1" applyAlignment="1">
      <alignment horizontal="left"/>
    </xf>
    <xf numFmtId="0" fontId="49" fillId="17" borderId="0" xfId="355" applyFont="1" applyFill="1"/>
    <xf numFmtId="0" fontId="48" fillId="17" borderId="0" xfId="350" applyFont="1" applyFill="1" applyAlignment="1">
      <alignment horizontal="left" wrapText="1"/>
    </xf>
    <xf numFmtId="0" fontId="50" fillId="17" borderId="0" xfId="355" applyFont="1" applyFill="1"/>
    <xf numFmtId="14" fontId="42" fillId="17" borderId="0" xfId="355" applyNumberFormat="1" applyFont="1" applyFill="1"/>
    <xf numFmtId="0" fontId="52" fillId="17" borderId="0" xfId="355" applyFont="1" applyFill="1"/>
    <xf numFmtId="0" fontId="46" fillId="17" borderId="0" xfId="349" applyFont="1" applyFill="1" applyAlignment="1" applyProtection="1">
      <alignment horizontal="right" vertical="center"/>
      <protection locked="0"/>
    </xf>
    <xf numFmtId="0" fontId="53" fillId="8" borderId="0" xfId="351" applyFont="1" applyFill="1"/>
    <xf numFmtId="0" fontId="28" fillId="9" borderId="0" xfId="345" quotePrefix="1" applyFont="1" applyFill="1" applyAlignment="1" applyProtection="1">
      <alignment horizontal="center" vertical="center"/>
      <protection locked="0"/>
    </xf>
    <xf numFmtId="0" fontId="51" fillId="12" borderId="0" xfId="345" applyFont="1" applyFill="1" applyAlignment="1" applyProtection="1">
      <alignment horizontal="center"/>
      <protection locked="0"/>
    </xf>
    <xf numFmtId="0" fontId="47" fillId="17" borderId="0" xfId="350" quotePrefix="1" applyFont="1" applyFill="1" applyAlignment="1" applyProtection="1">
      <alignment horizontal="right"/>
      <protection locked="0"/>
    </xf>
    <xf numFmtId="0" fontId="32" fillId="17" borderId="0" xfId="350" applyFont="1" applyFill="1" applyAlignment="1" applyProtection="1">
      <alignment horizontal="left"/>
      <protection locked="0"/>
    </xf>
    <xf numFmtId="0" fontId="48" fillId="17" borderId="0" xfId="350" applyFont="1" applyFill="1" applyAlignment="1">
      <alignment horizontal="left" wrapText="1"/>
    </xf>
    <xf numFmtId="0" fontId="21" fillId="10" borderId="0" xfId="1" applyFont="1" applyFill="1" applyAlignment="1">
      <alignment horizontal="center" vertical="center"/>
    </xf>
    <xf numFmtId="0" fontId="29" fillId="11" borderId="0" xfId="1" applyFont="1" applyFill="1" applyAlignment="1">
      <alignment horizontal="center" vertical="center"/>
    </xf>
  </cellXfs>
  <cellStyles count="359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7" builtinId="9" hidden="1"/>
    <cellStyle name="Followed Hyperlink" xfId="352" builtinId="9" hidden="1"/>
    <cellStyle name="Followed Hyperlink" xfId="3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/>
    <cellStyle name="Hyperlink 2" xfId="348"/>
    <cellStyle name="Hyperlink 2 2" xfId="349"/>
    <cellStyle name="Hyperlink 2 2 2" xfId="350"/>
    <cellStyle name="Normal" xfId="0" builtinId="0"/>
    <cellStyle name="Normal 2" xfId="1"/>
    <cellStyle name="Normal 2 2" xfId="351"/>
    <cellStyle name="Normal 2 2 2" xfId="354"/>
    <cellStyle name="Normal 2 2 3" xfId="356"/>
    <cellStyle name="Normal 2 2 4" xfId="355"/>
    <cellStyle name="Normal 3" xfId="357"/>
    <cellStyle name="Percent" xfId="142" builtinId="5"/>
    <cellStyle name="Percent 2" xfId="358"/>
  </cellStyles>
  <dxfs count="343">
    <dxf>
      <font>
        <color auto="1"/>
      </font>
      <fill>
        <patternFill patternType="solid">
          <fgColor indexed="64"/>
          <bgColor theme="6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color theme="5" tint="-0.24994659260841701"/>
      </font>
      <fill>
        <patternFill>
          <bgColor theme="5" tint="0.3999450666829432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6500"/>
      </font>
      <fill>
        <patternFill>
          <bgColor rgb="FFFFEB9C"/>
        </patternFill>
      </fill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ill>
        <patternFill>
          <bgColor indexed="1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4" Type="http://schemas.openxmlformats.org/officeDocument/2006/relationships/hyperlink" Target="http://mathsclass.net/contact/" TargetMode="External"/><Relationship Id="rId5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hyperlink" Target="http://twitter.com/simonjo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33031</xdr:colOff>
      <xdr:row>15</xdr:row>
      <xdr:rowOff>152400</xdr:rowOff>
    </xdr:from>
    <xdr:to>
      <xdr:col>7</xdr:col>
      <xdr:colOff>600075</xdr:colOff>
      <xdr:row>18</xdr:row>
      <xdr:rowOff>10353</xdr:rowOff>
    </xdr:to>
    <xdr:pic>
      <xdr:nvPicPr>
        <xdr:cNvPr id="2" name="Picture 1" descr="by-nc-s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681" y="3457575"/>
          <a:ext cx="1271894" cy="438978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800100</xdr:colOff>
      <xdr:row>7</xdr:row>
      <xdr:rowOff>0</xdr:rowOff>
    </xdr:from>
    <xdr:to>
      <xdr:col>6</xdr:col>
      <xdr:colOff>177800</xdr:colOff>
      <xdr:row>8</xdr:row>
      <xdr:rowOff>12700</xdr:rowOff>
    </xdr:to>
    <xdr:pic>
      <xdr:nvPicPr>
        <xdr:cNvPr id="3" name="Picture 2" descr="icon_twitter.png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762125"/>
          <a:ext cx="177800" cy="2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203200</xdr:colOff>
      <xdr:row>8</xdr:row>
      <xdr:rowOff>12700</xdr:rowOff>
    </xdr:to>
    <xdr:pic>
      <xdr:nvPicPr>
        <xdr:cNvPr id="4" name="Picture 3" descr="icon_email.png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62125"/>
          <a:ext cx="203200" cy="20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athsclass.net/contact/" TargetMode="External"/><Relationship Id="rId4" Type="http://schemas.openxmlformats.org/officeDocument/2006/relationships/drawing" Target="../drawings/drawing1.xml"/><Relationship Id="rId1" Type="http://schemas.openxmlformats.org/officeDocument/2006/relationships/hyperlink" Target="http://mathsclass.net/" TargetMode="External"/><Relationship Id="rId2" Type="http://schemas.openxmlformats.org/officeDocument/2006/relationships/hyperlink" Target="http://twitter.com/simonj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showRowColHeaders="0" tabSelected="1" workbookViewId="0">
      <selection activeCell="C5" sqref="C5:H13"/>
    </sheetView>
  </sheetViews>
  <sheetFormatPr baseColWidth="10" defaultColWidth="0" defaultRowHeight="15" customHeight="1" zeroHeight="1" x14ac:dyDescent="0"/>
  <cols>
    <col min="1" max="1" width="2.33203125" style="8" customWidth="1"/>
    <col min="2" max="2" width="4.6640625" style="10" customWidth="1"/>
    <col min="3" max="8" width="10.83203125" style="10" customWidth="1"/>
    <col min="9" max="9" width="4.6640625" style="10" customWidth="1"/>
    <col min="10" max="10" width="2.33203125" style="8" customWidth="1"/>
    <col min="11" max="16384" width="10.83203125" style="10" hidden="1"/>
  </cols>
  <sheetData>
    <row r="1" spans="1:10" s="8" customFormat="1" ht="14" customHeight="1"/>
    <row r="2" spans="1:10">
      <c r="B2" s="9"/>
      <c r="C2" s="9"/>
      <c r="D2" s="9"/>
      <c r="E2" s="9"/>
      <c r="F2" s="9"/>
      <c r="G2" s="9"/>
      <c r="H2" s="9"/>
      <c r="I2" s="9"/>
    </row>
    <row r="3" spans="1:10" s="13" customFormat="1" ht="21">
      <c r="A3" s="11"/>
      <c r="B3" s="12"/>
      <c r="C3" s="98" t="s">
        <v>30</v>
      </c>
      <c r="D3" s="12"/>
      <c r="E3" s="12"/>
      <c r="F3" s="12"/>
      <c r="G3" s="12"/>
      <c r="H3" s="12"/>
      <c r="I3" s="12"/>
      <c r="J3" s="11"/>
    </row>
    <row r="4" spans="1:10" s="13" customFormat="1" ht="23">
      <c r="A4" s="11"/>
      <c r="B4" s="12"/>
      <c r="C4" s="14"/>
      <c r="D4" s="12"/>
      <c r="E4" s="12"/>
      <c r="F4" s="12"/>
      <c r="G4" s="12"/>
      <c r="H4" s="12"/>
      <c r="I4" s="12"/>
      <c r="J4" s="11"/>
    </row>
    <row r="5" spans="1:10" s="13" customFormat="1" ht="14" customHeight="1">
      <c r="A5" s="11"/>
      <c r="B5" s="12"/>
      <c r="C5" s="99" t="s">
        <v>8</v>
      </c>
      <c r="D5" s="99"/>
      <c r="E5" s="99"/>
      <c r="F5" s="99"/>
      <c r="G5" s="99"/>
      <c r="H5" s="99"/>
      <c r="I5" s="12"/>
      <c r="J5" s="11"/>
    </row>
    <row r="6" spans="1:10" s="13" customFormat="1" ht="14" customHeight="1">
      <c r="A6" s="11"/>
      <c r="B6" s="12"/>
      <c r="C6" s="99"/>
      <c r="D6" s="99"/>
      <c r="E6" s="99"/>
      <c r="F6" s="99"/>
      <c r="G6" s="99"/>
      <c r="H6" s="99"/>
      <c r="I6" s="12"/>
      <c r="J6" s="11"/>
    </row>
    <row r="7" spans="1:10" ht="14" customHeight="1">
      <c r="B7" s="9"/>
      <c r="C7" s="99"/>
      <c r="D7" s="99"/>
      <c r="E7" s="99"/>
      <c r="F7" s="99"/>
      <c r="G7" s="99"/>
      <c r="H7" s="99"/>
      <c r="I7" s="9"/>
    </row>
    <row r="8" spans="1:10" ht="14" customHeight="1">
      <c r="B8" s="9"/>
      <c r="C8" s="99"/>
      <c r="D8" s="99"/>
      <c r="E8" s="99"/>
      <c r="F8" s="99"/>
      <c r="G8" s="99"/>
      <c r="H8" s="99"/>
      <c r="I8" s="9"/>
    </row>
    <row r="9" spans="1:10" ht="14" customHeight="1">
      <c r="B9" s="9"/>
      <c r="C9" s="99"/>
      <c r="D9" s="99"/>
      <c r="E9" s="99"/>
      <c r="F9" s="99"/>
      <c r="G9" s="99"/>
      <c r="H9" s="99"/>
      <c r="I9" s="9"/>
    </row>
    <row r="10" spans="1:10" ht="14" customHeight="1">
      <c r="B10" s="9"/>
      <c r="C10" s="99"/>
      <c r="D10" s="99"/>
      <c r="E10" s="99"/>
      <c r="F10" s="99"/>
      <c r="G10" s="99"/>
      <c r="H10" s="99"/>
      <c r="I10" s="9"/>
    </row>
    <row r="11" spans="1:10" ht="14" customHeight="1">
      <c r="B11" s="9"/>
      <c r="C11" s="99"/>
      <c r="D11" s="99"/>
      <c r="E11" s="99"/>
      <c r="F11" s="99"/>
      <c r="G11" s="99"/>
      <c r="H11" s="99"/>
      <c r="I11" s="9"/>
    </row>
    <row r="12" spans="1:10" ht="14" customHeight="1">
      <c r="B12" s="9"/>
      <c r="C12" s="99"/>
      <c r="D12" s="99"/>
      <c r="E12" s="99"/>
      <c r="F12" s="99"/>
      <c r="G12" s="99"/>
      <c r="H12" s="99"/>
      <c r="I12" s="9"/>
    </row>
    <row r="13" spans="1:10" ht="14" customHeight="1">
      <c r="B13" s="9"/>
      <c r="C13" s="99"/>
      <c r="D13" s="99"/>
      <c r="E13" s="99"/>
      <c r="F13" s="99"/>
      <c r="G13" s="99"/>
      <c r="H13" s="99"/>
      <c r="I13" s="9"/>
    </row>
    <row r="14" spans="1:10" ht="14" customHeight="1">
      <c r="B14" s="9"/>
      <c r="C14" s="9"/>
      <c r="D14" s="9"/>
      <c r="E14" s="9"/>
      <c r="F14" s="9"/>
      <c r="G14" s="9"/>
      <c r="H14" s="9"/>
      <c r="I14" s="9"/>
    </row>
    <row r="15" spans="1:10" ht="14" customHeight="1">
      <c r="B15" s="9"/>
      <c r="C15" s="9"/>
      <c r="D15" s="9"/>
      <c r="E15" s="9"/>
      <c r="F15" s="9"/>
      <c r="G15" s="100" t="s">
        <v>41</v>
      </c>
      <c r="H15" s="100"/>
      <c r="I15" s="9"/>
    </row>
    <row r="16" spans="1:10" ht="14" customHeight="1">
      <c r="B16" s="9"/>
      <c r="C16" s="9"/>
      <c r="D16" s="9"/>
      <c r="E16" s="9"/>
      <c r="F16" s="9"/>
      <c r="G16" s="9"/>
      <c r="H16" s="9"/>
      <c r="I16" s="9"/>
    </row>
    <row r="17" spans="2:9" ht="14" customHeight="1">
      <c r="B17" s="9"/>
      <c r="C17" s="9"/>
      <c r="D17" s="9"/>
      <c r="E17" s="9"/>
      <c r="F17" s="9"/>
      <c r="G17" s="9"/>
      <c r="H17" s="9"/>
      <c r="I17" s="9"/>
    </row>
    <row r="18" spans="2:9" ht="14" customHeight="1">
      <c r="B18" s="9"/>
      <c r="C18" s="9"/>
      <c r="D18" s="9"/>
      <c r="E18" s="9"/>
      <c r="F18" s="9"/>
      <c r="G18" s="9"/>
      <c r="H18" s="9"/>
      <c r="I18" s="9"/>
    </row>
    <row r="19" spans="2:9" ht="14" customHeight="1">
      <c r="B19" s="9"/>
      <c r="C19" s="9"/>
      <c r="D19" s="9"/>
      <c r="E19" s="9"/>
      <c r="F19" s="9"/>
      <c r="G19" s="9"/>
      <c r="H19" s="9"/>
      <c r="I19" s="9"/>
    </row>
    <row r="20" spans="2:9" ht="14" customHeight="1">
      <c r="B20" s="9"/>
      <c r="C20" s="9"/>
      <c r="D20" s="9"/>
      <c r="E20" s="9"/>
      <c r="F20" s="9"/>
      <c r="G20" s="9"/>
      <c r="H20" s="9"/>
      <c r="I20" s="9"/>
    </row>
    <row r="21" spans="2:9" ht="14" customHeight="1">
      <c r="B21" s="9"/>
      <c r="C21" s="9"/>
      <c r="D21" s="9"/>
      <c r="E21" s="9"/>
      <c r="F21" s="9"/>
      <c r="G21" s="9"/>
      <c r="H21" s="9"/>
      <c r="I21" s="9"/>
    </row>
    <row r="22" spans="2:9" ht="14" customHeight="1">
      <c r="B22" s="9"/>
      <c r="C22" s="9"/>
      <c r="D22" s="9"/>
      <c r="E22" s="9"/>
      <c r="F22" s="9"/>
      <c r="G22" s="9"/>
      <c r="H22" s="9"/>
      <c r="I22" s="9"/>
    </row>
    <row r="23" spans="2:9" ht="14" customHeight="1">
      <c r="B23" s="9"/>
      <c r="C23" s="9"/>
      <c r="D23" s="9"/>
      <c r="E23" s="9"/>
      <c r="F23" s="9"/>
      <c r="G23" s="9"/>
      <c r="H23" s="9"/>
      <c r="I23" s="9"/>
    </row>
    <row r="24" spans="2:9" ht="14" customHeight="1">
      <c r="B24" s="9"/>
      <c r="C24" s="9"/>
      <c r="D24" s="9"/>
      <c r="E24" s="9"/>
      <c r="F24" s="9"/>
      <c r="G24" s="9"/>
      <c r="H24" s="9"/>
      <c r="I24" s="9"/>
    </row>
    <row r="25" spans="2:9" ht="14" customHeight="1">
      <c r="B25" s="9"/>
      <c r="C25" s="9"/>
      <c r="D25" s="9"/>
      <c r="E25" s="9"/>
      <c r="F25" s="9"/>
      <c r="G25" s="9"/>
      <c r="H25" s="9"/>
      <c r="I25" s="9"/>
    </row>
    <row r="26" spans="2:9" s="8" customFormat="1" ht="14" customHeight="1"/>
  </sheetData>
  <sheetProtection sheet="1" objects="1" scenarios="1" selectLockedCells="1"/>
  <mergeCells count="2">
    <mergeCell ref="C5:H13"/>
    <mergeCell ref="G15:H15"/>
  </mergeCells>
  <phoneticPr fontId="54" type="noConversion"/>
  <hyperlinks>
    <hyperlink ref="C5" location="'Powers of 10'!A1" display="START"/>
    <hyperlink ref="D5" location="'Powers of 10'!A1" display="'Powers of 10'!A1"/>
    <hyperlink ref="E5" location="'Powers of 10'!A1" display="'Powers of 10'!A1"/>
    <hyperlink ref="F5" location="'Powers of 10'!A1" display="'Powers of 10'!A1"/>
    <hyperlink ref="G5" location="'Powers of 10'!A1" display="'Powers of 10'!A1"/>
    <hyperlink ref="H5" location="'Powers of 10'!A1" display="'Powers of 10'!A1"/>
    <hyperlink ref="C6" location="'Powers of 10'!A1" display="'Powers of 10'!A1"/>
    <hyperlink ref="D6" location="'Powers of 10'!A1" display="'Powers of 10'!A1"/>
    <hyperlink ref="E6" location="'Powers of 10'!A1" display="'Powers of 10'!A1"/>
    <hyperlink ref="F6" location="'Powers of 10'!A1" display="'Powers of 10'!A1"/>
    <hyperlink ref="G6" location="'Powers of 10'!A1" display="'Powers of 10'!A1"/>
    <hyperlink ref="H6" location="'Powers of 10'!A1" display="'Powers of 10'!A1"/>
    <hyperlink ref="C7" location="'Powers of 10'!A1" display="'Powers of 10'!A1"/>
    <hyperlink ref="D7" location="'Powers of 10'!A1" display="'Powers of 10'!A1"/>
    <hyperlink ref="E7" location="'Powers of 10'!A1" display="'Powers of 10'!A1"/>
    <hyperlink ref="F7" location="'Powers of 10'!A1" display="'Powers of 10'!A1"/>
    <hyperlink ref="G7" location="'Powers of 10'!A1" display="'Powers of 10'!A1"/>
    <hyperlink ref="H7" location="'Powers of 10'!A1" display="'Powers of 10'!A1"/>
    <hyperlink ref="C8" location="'Powers of 10'!A1" display="'Powers of 10'!A1"/>
    <hyperlink ref="D8" location="'Powers of 10'!A1" display="'Powers of 10'!A1"/>
    <hyperlink ref="E8" location="'Powers of 10'!A1" display="'Powers of 10'!A1"/>
    <hyperlink ref="F8" location="'Powers of 10'!A1" display="'Powers of 10'!A1"/>
    <hyperlink ref="G8" location="'Powers of 10'!A1" display="'Powers of 10'!A1"/>
    <hyperlink ref="H8" location="'Powers of 10'!A1" display="'Powers of 10'!A1"/>
    <hyperlink ref="C9" location="'Powers of 10'!A1" display="'Powers of 10'!A1"/>
    <hyperlink ref="D9" location="'Powers of 10'!A1" display="'Powers of 10'!A1"/>
    <hyperlink ref="E9" location="'Powers of 10'!A1" display="'Powers of 10'!A1"/>
    <hyperlink ref="F9" location="'Powers of 10'!A1" display="'Powers of 10'!A1"/>
    <hyperlink ref="G9" location="'Powers of 10'!A1" display="'Powers of 10'!A1"/>
    <hyperlink ref="H9" location="'Powers of 10'!A1" display="'Powers of 10'!A1"/>
    <hyperlink ref="C10" location="'Powers of 10'!A1" display="'Powers of 10'!A1"/>
    <hyperlink ref="D10" location="'Powers of 10'!A1" display="'Powers of 10'!A1"/>
    <hyperlink ref="E10" location="'Powers of 10'!A1" display="'Powers of 10'!A1"/>
    <hyperlink ref="F10" location="'Powers of 10'!A1" display="'Powers of 10'!A1"/>
    <hyperlink ref="G10" location="'Powers of 10'!A1" display="'Powers of 10'!A1"/>
    <hyperlink ref="H10" location="'Powers of 10'!A1" display="'Powers of 10'!A1"/>
    <hyperlink ref="C11" location="'Powers of 10'!A1" display="'Powers of 10'!A1"/>
    <hyperlink ref="D11" location="'Powers of 10'!A1" display="'Powers of 10'!A1"/>
    <hyperlink ref="E11" location="'Powers of 10'!A1" display="'Powers of 10'!A1"/>
    <hyperlink ref="F11" location="'Powers of 10'!A1" display="'Powers of 10'!A1"/>
    <hyperlink ref="G11" location="'Powers of 10'!A1" display="'Powers of 10'!A1"/>
    <hyperlink ref="H11" location="'Powers of 10'!A1" display="'Powers of 10'!A1"/>
    <hyperlink ref="C12" location="'Powers of 10'!A1" display="'Powers of 10'!A1"/>
    <hyperlink ref="D12" location="'Powers of 10'!A1" display="'Powers of 10'!A1"/>
    <hyperlink ref="E12" location="'Powers of 10'!A1" display="'Powers of 10'!A1"/>
    <hyperlink ref="F12" location="'Powers of 10'!A1" display="'Powers of 10'!A1"/>
    <hyperlink ref="G12" location="'Powers of 10'!A1" display="'Powers of 10'!A1"/>
    <hyperlink ref="H12" location="'Powers of 10'!A1" display="'Powers of 10'!A1"/>
    <hyperlink ref="C13" location="'Powers of 10'!A1" display="'Powers of 10'!A1"/>
    <hyperlink ref="D13" location="'Powers of 10'!A1" display="'Powers of 10'!A1"/>
    <hyperlink ref="E13" location="'Powers of 10'!A1" display="'Powers of 10'!A1"/>
    <hyperlink ref="F13" location="'Powers of 10'!A1" display="'Powers of 10'!A1"/>
    <hyperlink ref="G13" location="'Powers of 10'!A1" display="'Powers of 10'!A1"/>
    <hyperlink ref="H13" location="'Powers of 10'!A1" display="'Powers of 10'!A1"/>
    <hyperlink ref="G15:H15" location="About!A1" display="About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showGridLines="0" showRowColHeaders="0" workbookViewId="0">
      <selection activeCell="E6" sqref="E6"/>
    </sheetView>
  </sheetViews>
  <sheetFormatPr baseColWidth="10" defaultColWidth="0" defaultRowHeight="15" customHeight="1" zeroHeight="1" x14ac:dyDescent="0"/>
  <cols>
    <col min="1" max="1" width="2.33203125" style="81" customWidth="1"/>
    <col min="2" max="9" width="10.5" style="82" customWidth="1"/>
    <col min="10" max="10" width="2.33203125" style="81" customWidth="1"/>
    <col min="11" max="16384" width="10.5" style="82" hidden="1"/>
  </cols>
  <sheetData>
    <row r="1" spans="1:10" s="81" customFormat="1" ht="14" customHeight="1"/>
    <row r="2" spans="1:10"/>
    <row r="3" spans="1:10" ht="23">
      <c r="C3" s="96" t="s">
        <v>30</v>
      </c>
    </row>
    <row r="4" spans="1:10" ht="18">
      <c r="C4" s="83"/>
    </row>
    <row r="5" spans="1:10" s="85" customFormat="1">
      <c r="A5" s="84"/>
      <c r="J5" s="84"/>
    </row>
    <row r="6" spans="1:10" s="85" customFormat="1" ht="31">
      <c r="A6" s="84"/>
      <c r="C6" s="86" t="s">
        <v>41</v>
      </c>
      <c r="E6" s="97" t="s">
        <v>42</v>
      </c>
      <c r="F6" s="87"/>
      <c r="J6" s="84"/>
    </row>
    <row r="7" spans="1:10" s="85" customFormat="1">
      <c r="A7" s="84"/>
      <c r="J7" s="84"/>
    </row>
    <row r="8" spans="1:10" s="85" customFormat="1">
      <c r="A8" s="84"/>
      <c r="C8" s="85" t="s">
        <v>43</v>
      </c>
      <c r="E8" s="88"/>
      <c r="F8" s="89" t="s">
        <v>44</v>
      </c>
      <c r="G8" s="101" t="s">
        <v>45</v>
      </c>
      <c r="H8" s="101"/>
      <c r="J8" s="84"/>
    </row>
    <row r="9" spans="1:10">
      <c r="C9" s="102" t="s">
        <v>46</v>
      </c>
      <c r="D9" s="102"/>
    </row>
    <row r="10" spans="1:10"/>
    <row r="11" spans="1:10"/>
    <row r="12" spans="1:10">
      <c r="C12" s="90"/>
    </row>
    <row r="13" spans="1:10"/>
    <row r="14" spans="1:10"/>
    <row r="15" spans="1:10">
      <c r="C15" s="91"/>
    </row>
    <row r="16" spans="1:10"/>
    <row r="17" spans="3:7">
      <c r="C17" s="92" t="s">
        <v>47</v>
      </c>
    </row>
    <row r="18" spans="3:7">
      <c r="C18" s="82" t="s">
        <v>48</v>
      </c>
    </row>
    <row r="19" spans="3:7">
      <c r="C19" s="82" t="s">
        <v>49</v>
      </c>
    </row>
    <row r="20" spans="3:7">
      <c r="C20" s="103" t="s">
        <v>50</v>
      </c>
      <c r="D20" s="103"/>
      <c r="E20" s="103"/>
      <c r="F20" s="103"/>
      <c r="G20" s="103"/>
    </row>
    <row r="21" spans="3:7">
      <c r="C21" s="103"/>
      <c r="D21" s="103"/>
      <c r="E21" s="103"/>
      <c r="F21" s="103"/>
      <c r="G21" s="103"/>
    </row>
    <row r="22" spans="3:7">
      <c r="C22" s="103"/>
      <c r="D22" s="103"/>
      <c r="E22" s="103"/>
      <c r="F22" s="103"/>
      <c r="G22" s="103"/>
    </row>
    <row r="23" spans="3:7">
      <c r="C23" s="93"/>
      <c r="D23" s="93"/>
      <c r="E23" s="93"/>
      <c r="F23" s="93"/>
      <c r="G23" s="93"/>
    </row>
    <row r="24" spans="3:7">
      <c r="C24" s="93"/>
      <c r="D24" s="93"/>
      <c r="E24" s="93"/>
      <c r="F24" s="93"/>
      <c r="G24" s="93"/>
    </row>
    <row r="25" spans="3:7">
      <c r="C25" s="93"/>
      <c r="D25" s="93"/>
      <c r="E25" s="93"/>
      <c r="F25" s="93"/>
      <c r="G25" s="93"/>
    </row>
    <row r="26" spans="3:7" s="81" customFormat="1" ht="14" customHeight="1"/>
    <row r="27" spans="3:7" hidden="1"/>
    <row r="28" spans="3:7" hidden="1">
      <c r="C28" s="94"/>
    </row>
    <row r="29" spans="3:7" hidden="1"/>
    <row r="30" spans="3:7" hidden="1">
      <c r="C30" s="95"/>
    </row>
    <row r="31" spans="3:7" hidden="1">
      <c r="C31" s="95"/>
    </row>
  </sheetData>
  <sheetProtection sheet="1" objects="1" scenarios="1" selectLockedCells="1"/>
  <mergeCells count="3">
    <mergeCell ref="G8:H8"/>
    <mergeCell ref="C9:D9"/>
    <mergeCell ref="C20:G22"/>
  </mergeCells>
  <phoneticPr fontId="54" type="noConversion"/>
  <hyperlinks>
    <hyperlink ref="C9" r:id="rId1"/>
    <hyperlink ref="E6" location="Start!A1" display="&lt; Start"/>
    <hyperlink ref="G8" r:id="rId2"/>
    <hyperlink ref="F8" r:id="rId3"/>
  </hyperlinks>
  <pageMargins left="0.75" right="0.75" top="1" bottom="1" header="0.5" footer="0.5"/>
  <pageSetup paperSize="9" orientation="portrait" horizontalDpi="4294967292" verticalDpi="4294967292"/>
  <drawing r:id="rId4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pageSetUpPr fitToPage="1"/>
  </sheetPr>
  <dimension ref="A1:AB16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3" width="11.6640625" style="40" customWidth="1"/>
    <col min="4" max="4" width="4.6640625" style="40" customWidth="1"/>
    <col min="5" max="5" width="20.6640625" style="42" customWidth="1"/>
    <col min="6" max="8" width="4.6640625" style="42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3" style="41" hidden="1" customWidth="1"/>
    <col min="22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31"/>
      <c r="D1" s="32" t="str">
        <f ca="1">MID(CELL("filename",A1),FIND("]",CELL("filename",A1))+1,256)</f>
        <v>Powers of 10</v>
      </c>
      <c r="E1" s="33"/>
      <c r="F1" s="33"/>
      <c r="G1" s="33"/>
      <c r="H1" s="33"/>
      <c r="I1" s="34"/>
      <c r="J1" s="34"/>
      <c r="K1" s="35"/>
      <c r="L1" s="36"/>
      <c r="M1" s="36"/>
      <c r="N1" s="36"/>
      <c r="O1" s="30" t="s">
        <v>0</v>
      </c>
      <c r="P1" s="37">
        <f>COUNTIF(Q:Q,"Correct")/COUNTA(Q:Q)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19</v>
      </c>
      <c r="D2" s="36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28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v>1</v>
      </c>
      <c r="C4" s="46" t="str">
        <f>10&amp;S4</f>
        <v>10²</v>
      </c>
      <c r="D4" s="45" t="s">
        <v>1</v>
      </c>
      <c r="E4" s="51"/>
      <c r="F4" s="28"/>
      <c r="G4" s="28"/>
      <c r="H4" s="28"/>
      <c r="I4" s="28"/>
      <c r="J4" s="28"/>
      <c r="K4" s="27"/>
      <c r="L4" s="27"/>
      <c r="M4" s="27"/>
      <c r="N4" s="27"/>
      <c r="O4" s="27"/>
      <c r="P4" s="28"/>
      <c r="Q4" s="50" t="str">
        <f>IF(ISBLANK(E4),"",IF(E4=T4,"correct","incorrect"))</f>
        <v/>
      </c>
      <c r="R4" s="48">
        <v>2</v>
      </c>
      <c r="S4" s="49" t="str">
        <f>IF(AND(R4&gt;9,R4&lt;100),INDEX(super,LEFT(R4,1)+1,1)&amp;INDEX(super,RIGHT(R4,1)+1,1),INDEX(super,R4+1,1))</f>
        <v>²</v>
      </c>
      <c r="T4" s="49">
        <f>10^R4</f>
        <v>100</v>
      </c>
      <c r="U4" s="28"/>
      <c r="V4" s="28"/>
      <c r="W4" s="28"/>
      <c r="X4" s="28"/>
      <c r="Y4" s="28"/>
      <c r="Z4" s="28"/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28"/>
      <c r="I5" s="28"/>
      <c r="J5" s="28"/>
      <c r="K5" s="27"/>
      <c r="L5" s="27"/>
      <c r="M5" s="27"/>
      <c r="N5" s="27"/>
      <c r="O5" s="27"/>
      <c r="P5" s="28"/>
      <c r="Q5" s="48"/>
      <c r="R5" s="48"/>
      <c r="S5" s="49"/>
      <c r="T5" s="49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46" t="str">
        <f>10&amp;S6</f>
        <v>10⁵</v>
      </c>
      <c r="D6" s="45" t="s">
        <v>1</v>
      </c>
      <c r="E6" s="51"/>
      <c r="F6" s="28"/>
      <c r="G6" s="28"/>
      <c r="H6" s="28"/>
      <c r="I6" s="28"/>
      <c r="J6" s="28"/>
      <c r="K6" s="27"/>
      <c r="L6" s="27"/>
      <c r="M6" s="27"/>
      <c r="N6" s="27"/>
      <c r="O6" s="27"/>
      <c r="P6" s="28"/>
      <c r="Q6" s="50" t="str">
        <f>IF(ISBLANK(E6),"",IF(E6=T6,"correct","incorrect"))</f>
        <v/>
      </c>
      <c r="R6" s="48">
        <v>5</v>
      </c>
      <c r="S6" s="49" t="str">
        <f>IF(AND(R6&gt;9,R6&lt;100),INDEX(super,LEFT(R6,1)+1,1)&amp;INDEX(super,RIGHT(R6,1)+1,1),INDEX(super,R6+1,1))</f>
        <v>⁵</v>
      </c>
      <c r="T6" s="49">
        <v>100000</v>
      </c>
      <c r="U6" s="28"/>
      <c r="V6" s="28"/>
      <c r="W6" s="28"/>
      <c r="X6" s="28"/>
      <c r="Y6" s="28"/>
      <c r="Z6" s="28"/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28"/>
      <c r="I7" s="28"/>
      <c r="J7" s="28"/>
      <c r="K7" s="27"/>
      <c r="L7" s="27"/>
      <c r="M7" s="27"/>
      <c r="N7" s="27"/>
      <c r="O7" s="27"/>
      <c r="P7" s="28"/>
      <c r="Q7" s="48"/>
      <c r="R7" s="48"/>
      <c r="S7" s="49"/>
      <c r="T7" s="49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46" t="str">
        <f>10&amp;S8</f>
        <v>10⁸</v>
      </c>
      <c r="D8" s="45" t="s">
        <v>1</v>
      </c>
      <c r="E8" s="51"/>
      <c r="F8" s="28"/>
      <c r="G8" s="28"/>
      <c r="H8" s="28"/>
      <c r="I8" s="28"/>
      <c r="J8" s="28"/>
      <c r="K8" s="27"/>
      <c r="L8" s="27"/>
      <c r="M8" s="27"/>
      <c r="N8" s="27"/>
      <c r="O8" s="27"/>
      <c r="P8" s="28"/>
      <c r="Q8" s="50" t="str">
        <f>IF(ISBLANK(E8),"",IF(E8=T8,"correct","incorrect"))</f>
        <v/>
      </c>
      <c r="R8" s="48">
        <v>8</v>
      </c>
      <c r="S8" s="49" t="str">
        <f>IF(AND(R8&gt;9,R8&lt;100),INDEX(super,LEFT(R8,1)+1,1)&amp;INDEX(super,RIGHT(R8,1)+1,1),INDEX(super,R8+1,1))</f>
        <v>⁸</v>
      </c>
      <c r="T8" s="49">
        <f>10^R8</f>
        <v>100000000</v>
      </c>
      <c r="U8" s="28"/>
      <c r="V8" s="28"/>
      <c r="W8" s="28"/>
      <c r="X8" s="28"/>
      <c r="Y8" s="28"/>
      <c r="Z8" s="28"/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28"/>
      <c r="I9" s="28"/>
      <c r="J9" s="28"/>
      <c r="K9" s="27"/>
      <c r="L9" s="27"/>
      <c r="M9" s="27"/>
      <c r="N9" s="27"/>
      <c r="O9" s="27"/>
      <c r="P9" s="28"/>
      <c r="Q9" s="48"/>
      <c r="R9" s="48"/>
      <c r="S9" s="49"/>
      <c r="T9" s="49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46" t="str">
        <f>10&amp;S10</f>
        <v>10¹</v>
      </c>
      <c r="D10" s="45" t="s">
        <v>1</v>
      </c>
      <c r="E10" s="51"/>
      <c r="F10" s="28"/>
      <c r="G10" s="28"/>
      <c r="H10" s="28"/>
      <c r="I10" s="28"/>
      <c r="J10" s="28"/>
      <c r="K10" s="27"/>
      <c r="L10" s="27"/>
      <c r="M10" s="27"/>
      <c r="N10" s="27"/>
      <c r="O10" s="27"/>
      <c r="P10" s="28"/>
      <c r="Q10" s="50" t="str">
        <f>IF(ISBLANK(E10),"",IF(E10=T10,"correct","incorrect"))</f>
        <v/>
      </c>
      <c r="R10" s="48">
        <v>1</v>
      </c>
      <c r="S10" s="49" t="str">
        <f>IF(AND(R10&gt;9,R10&lt;100),INDEX(super,LEFT(R10,1)+1,1)&amp;INDEX(super,RIGHT(R10,1)+1,1),INDEX(super,R10+1,1))</f>
        <v>¹</v>
      </c>
      <c r="T10" s="49">
        <f>10^R10</f>
        <v>10</v>
      </c>
      <c r="U10" s="28"/>
      <c r="V10" s="28"/>
      <c r="W10" s="28"/>
      <c r="X10" s="28"/>
      <c r="Y10" s="28"/>
      <c r="Z10" s="28"/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28"/>
      <c r="I11" s="28"/>
      <c r="J11" s="28"/>
      <c r="K11" s="27"/>
      <c r="L11" s="27"/>
      <c r="M11" s="27"/>
      <c r="N11" s="27"/>
      <c r="O11" s="27"/>
      <c r="P11" s="28"/>
      <c r="Q11" s="48"/>
      <c r="R11" s="48"/>
      <c r="S11" s="49"/>
      <c r="T11" s="49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46" t="str">
        <f>10&amp;S12</f>
        <v>10³</v>
      </c>
      <c r="D12" s="45" t="s">
        <v>1</v>
      </c>
      <c r="E12" s="51"/>
      <c r="F12" s="28"/>
      <c r="G12" s="28"/>
      <c r="H12" s="28"/>
      <c r="I12" s="28"/>
      <c r="J12" s="28"/>
      <c r="K12" s="27"/>
      <c r="L12" s="27"/>
      <c r="M12" s="27"/>
      <c r="N12" s="27"/>
      <c r="O12" s="27"/>
      <c r="P12" s="28"/>
      <c r="Q12" s="50" t="str">
        <f>IF(ISBLANK(E12),"",IF(E12=T12,"correct","incorrect"))</f>
        <v/>
      </c>
      <c r="R12" s="48">
        <v>3</v>
      </c>
      <c r="S12" s="49" t="str">
        <f>IF(AND(R12&gt;9,R12&lt;100),INDEX(super,LEFT(R12,1)+1,1)&amp;INDEX(super,RIGHT(R12,1)+1,1),INDEX(super,R12+1,1))</f>
        <v>³</v>
      </c>
      <c r="T12" s="49">
        <f>10^R12</f>
        <v>1000</v>
      </c>
      <c r="U12" s="28"/>
      <c r="V12" s="28"/>
      <c r="W12" s="28"/>
      <c r="X12" s="28"/>
      <c r="Y12" s="28"/>
      <c r="Z12" s="28"/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28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46" t="str">
        <f>10&amp;S14</f>
        <v>10⁷</v>
      </c>
      <c r="D14" s="45" t="s">
        <v>1</v>
      </c>
      <c r="E14" s="51"/>
      <c r="F14" s="28"/>
      <c r="G14" s="28"/>
      <c r="H14" s="28"/>
      <c r="I14" s="28"/>
      <c r="J14" s="28"/>
      <c r="K14" s="27"/>
      <c r="L14" s="27"/>
      <c r="M14" s="27"/>
      <c r="N14" s="27"/>
      <c r="O14" s="27"/>
      <c r="P14" s="28"/>
      <c r="Q14" s="50" t="str">
        <f>IF(ISBLANK(E14),"",IF(E14=T14,"correct","incorrect"))</f>
        <v/>
      </c>
      <c r="R14" s="48">
        <v>7</v>
      </c>
      <c r="S14" s="49" t="str">
        <f>IF(AND(R14&gt;9,R14&lt;100),INDEX(super,LEFT(R14,1)+1,1)&amp;INDEX(super,RIGHT(R14,1)+1,1),INDEX(super,R14+1,1))</f>
        <v>⁷</v>
      </c>
      <c r="T14" s="49">
        <f>10^R14</f>
        <v>10000000</v>
      </c>
      <c r="U14" s="28"/>
      <c r="V14" s="28"/>
      <c r="W14" s="28"/>
      <c r="X14" s="28"/>
      <c r="Y14" s="28"/>
      <c r="Z14" s="28"/>
      <c r="AA14" s="28"/>
      <c r="AB14" s="27"/>
    </row>
    <row r="15" spans="1:28" s="2" customFormat="1" ht="28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spans="1:28" s="2" customFormat="1" ht="28" customHeight="1">
      <c r="A16" s="26"/>
      <c r="B16" s="29"/>
      <c r="C16" s="29"/>
      <c r="D16" s="27"/>
      <c r="E16" s="28"/>
      <c r="F16" s="28"/>
      <c r="G16" s="28"/>
      <c r="H16" s="28"/>
      <c r="I16" s="28"/>
      <c r="J16" s="28"/>
      <c r="K16" s="27"/>
      <c r="L16" s="27"/>
      <c r="M16" s="27"/>
      <c r="N16" s="27"/>
      <c r="O16" s="27"/>
      <c r="P16" s="28"/>
      <c r="Q16" s="27"/>
      <c r="R16" s="27"/>
      <c r="S16" s="28"/>
      <c r="T16" s="28"/>
      <c r="U16" s="28"/>
      <c r="V16" s="28"/>
      <c r="W16" s="28"/>
      <c r="X16" s="28"/>
      <c r="Y16" s="28"/>
      <c r="Z16" s="28"/>
      <c r="AA16" s="28"/>
      <c r="AB16" s="27"/>
    </row>
  </sheetData>
  <sheetProtection sheet="1" objects="1" scenarios="1" selectLockedCells="1"/>
  <phoneticPr fontId="54" type="noConversion"/>
  <conditionalFormatting sqref="P1">
    <cfRule type="cellIs" dxfId="342" priority="311" stopIfTrue="1" operator="lessThan">
      <formula>1</formula>
    </cfRule>
    <cfRule type="cellIs" dxfId="341" priority="312" stopIfTrue="1" operator="equal">
      <formula>1</formula>
    </cfRule>
  </conditionalFormatting>
  <conditionalFormatting sqref="E4">
    <cfRule type="expression" dxfId="340" priority="16">
      <formula>ISBLANK(E4)</formula>
    </cfRule>
    <cfRule type="expression" dxfId="339" priority="27">
      <formula>Q4="correct"</formula>
    </cfRule>
    <cfRule type="expression" dxfId="338" priority="28">
      <formula>Q4="incorrect"</formula>
    </cfRule>
  </conditionalFormatting>
  <conditionalFormatting sqref="E6">
    <cfRule type="expression" dxfId="337" priority="13">
      <formula>ISBLANK(E6)</formula>
    </cfRule>
    <cfRule type="expression" dxfId="336" priority="14">
      <formula>Q6="correct"</formula>
    </cfRule>
    <cfRule type="expression" dxfId="335" priority="15">
      <formula>Q6="incorrect"</formula>
    </cfRule>
  </conditionalFormatting>
  <conditionalFormatting sqref="E8">
    <cfRule type="expression" dxfId="334" priority="10">
      <formula>ISBLANK(E8)</formula>
    </cfRule>
    <cfRule type="expression" dxfId="333" priority="11">
      <formula>Q8="correct"</formula>
    </cfRule>
    <cfRule type="expression" dxfId="332" priority="12">
      <formula>Q8="incorrect"</formula>
    </cfRule>
  </conditionalFormatting>
  <conditionalFormatting sqref="E10">
    <cfRule type="expression" dxfId="331" priority="7">
      <formula>ISBLANK(E10)</formula>
    </cfRule>
    <cfRule type="expression" dxfId="330" priority="8">
      <formula>Q10="correct"</formula>
    </cfRule>
    <cfRule type="expression" dxfId="329" priority="9">
      <formula>Q10="incorrect"</formula>
    </cfRule>
  </conditionalFormatting>
  <conditionalFormatting sqref="E12">
    <cfRule type="expression" dxfId="328" priority="4">
      <formula>ISBLANK(E12)</formula>
    </cfRule>
    <cfRule type="expression" dxfId="327" priority="5">
      <formula>Q12="correct"</formula>
    </cfRule>
    <cfRule type="expression" dxfId="326" priority="6">
      <formula>Q12="incorrect"</formula>
    </cfRule>
  </conditionalFormatting>
  <conditionalFormatting sqref="E14">
    <cfRule type="expression" dxfId="325" priority="1">
      <formula>ISBLANK(E14)</formula>
    </cfRule>
    <cfRule type="expression" dxfId="324" priority="2">
      <formula>Q14="correct"</formula>
    </cfRule>
    <cfRule type="expression" dxfId="323" priority="3">
      <formula>Q14="incorrect"</formula>
    </cfRule>
  </conditionalFormatting>
  <hyperlinks>
    <hyperlink ref="AB1" location="'Powers of 10 Part 2'!A1" display="Next"/>
    <hyperlink ref="B1" location="Start!A1" display="Previous"/>
  </hyperlinks>
  <pageMargins left="0.59055118110236227" right="0.59055118110236227" top="0.39370078740157483" bottom="0.39370078740157483" header="0.51181102362204722" footer="0.51181102362204722"/>
  <pageSetup paperSize="9" scale="65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16"/>
  <sheetViews>
    <sheetView showRowColHeaders="0" workbookViewId="0">
      <pane ySplit="2" topLeftCell="A3" activePane="bottomLeft" state="frozen"/>
      <selection activeCell="C5" sqref="C5:H13"/>
      <selection pane="bottomLeft" activeCell="F4" sqref="F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7.5" style="42" customWidth="1"/>
    <col min="6" max="8" width="4.6640625" style="42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3" style="41" hidden="1" customWidth="1"/>
    <col min="22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31"/>
      <c r="D1" s="32" t="str">
        <f ca="1">MID(CELL("filename",A1),FIND("]",CELL("filename",A1))+1,256)</f>
        <v>Powers of 10 Part 2</v>
      </c>
      <c r="E1" s="33"/>
      <c r="F1" s="33"/>
      <c r="G1" s="33"/>
      <c r="H1" s="33"/>
      <c r="I1" s="34"/>
      <c r="J1" s="34"/>
      <c r="K1" s="35"/>
      <c r="L1" s="36"/>
      <c r="M1" s="36"/>
      <c r="N1" s="36"/>
      <c r="O1" s="30" t="s">
        <v>0</v>
      </c>
      <c r="P1" s="37">
        <f>COUNTIF(Q:Q,"Correct")/COUNTA(Q:Q)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20</v>
      </c>
      <c r="D2" s="36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28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v>1</v>
      </c>
      <c r="C4" s="53">
        <f>T4</f>
        <v>100</v>
      </c>
      <c r="D4" s="45" t="s">
        <v>1</v>
      </c>
      <c r="E4" s="46">
        <v>10</v>
      </c>
      <c r="F4" s="54"/>
      <c r="G4" s="28"/>
      <c r="H4" s="28"/>
      <c r="I4" s="28"/>
      <c r="J4" s="28"/>
      <c r="K4" s="27"/>
      <c r="L4" s="27"/>
      <c r="M4" s="27"/>
      <c r="N4" s="27"/>
      <c r="O4" s="27"/>
      <c r="P4" s="28"/>
      <c r="Q4" s="50" t="str">
        <f>IF(ISBLANK(F4),"",IF(F4=R4,"correct","incorrect"))</f>
        <v/>
      </c>
      <c r="R4" s="48">
        <v>2</v>
      </c>
      <c r="S4" s="49" t="str">
        <f>IF(AND(R4&gt;9,R4&lt;100),INDEX(super,LEFT(R4,1)+1,1)&amp;INDEX(super,RIGHT(R4,1)+1,1),INDEX(super,R4+1,1))</f>
        <v>²</v>
      </c>
      <c r="T4" s="49">
        <f>10^R4</f>
        <v>100</v>
      </c>
      <c r="U4" s="28"/>
      <c r="V4" s="28"/>
      <c r="W4" s="28"/>
      <c r="X4" s="28"/>
      <c r="Y4" s="28"/>
      <c r="Z4" s="28"/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28"/>
      <c r="I5" s="28"/>
      <c r="J5" s="28"/>
      <c r="K5" s="27"/>
      <c r="L5" s="27"/>
      <c r="M5" s="27"/>
      <c r="N5" s="27"/>
      <c r="O5" s="27"/>
      <c r="P5" s="28"/>
      <c r="Q5" s="48"/>
      <c r="R5" s="48"/>
      <c r="S5" s="49"/>
      <c r="T5" s="49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53">
        <f>T6</f>
        <v>10000000</v>
      </c>
      <c r="D6" s="45" t="s">
        <v>1</v>
      </c>
      <c r="E6" s="46">
        <v>10</v>
      </c>
      <c r="F6" s="54"/>
      <c r="G6" s="28"/>
      <c r="H6" s="28"/>
      <c r="I6" s="28"/>
      <c r="J6" s="28"/>
      <c r="K6" s="27"/>
      <c r="L6" s="27"/>
      <c r="M6" s="27"/>
      <c r="N6" s="27"/>
      <c r="O6" s="27"/>
      <c r="P6" s="28"/>
      <c r="Q6" s="50" t="str">
        <f>IF(ISBLANK(F6),"",IF(F6=R6,"correct","incorrect"))</f>
        <v/>
      </c>
      <c r="R6" s="48">
        <v>7</v>
      </c>
      <c r="S6" s="49" t="str">
        <f>IF(AND(R6&gt;9,R6&lt;100),INDEX(super,LEFT(R6,1)+1,1)&amp;INDEX(super,RIGHT(R6,1)+1,1),INDEX(super,R6+1,1))</f>
        <v>⁷</v>
      </c>
      <c r="T6" s="49">
        <f>10^R6</f>
        <v>10000000</v>
      </c>
      <c r="U6" s="28"/>
      <c r="V6" s="28"/>
      <c r="W6" s="28"/>
      <c r="X6" s="28"/>
      <c r="Y6" s="28"/>
      <c r="Z6" s="28"/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28"/>
      <c r="I7" s="28"/>
      <c r="J7" s="28"/>
      <c r="K7" s="27"/>
      <c r="L7" s="27"/>
      <c r="M7" s="27"/>
      <c r="N7" s="27"/>
      <c r="O7" s="27"/>
      <c r="P7" s="28"/>
      <c r="Q7" s="48"/>
      <c r="R7" s="48"/>
      <c r="S7" s="49"/>
      <c r="T7" s="49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53">
        <f>T8</f>
        <v>1000</v>
      </c>
      <c r="D8" s="45" t="s">
        <v>1</v>
      </c>
      <c r="E8" s="46">
        <v>10</v>
      </c>
      <c r="F8" s="54"/>
      <c r="G8" s="28"/>
      <c r="H8" s="28"/>
      <c r="I8" s="28"/>
      <c r="J8" s="28"/>
      <c r="K8" s="27"/>
      <c r="L8" s="27"/>
      <c r="M8" s="27"/>
      <c r="N8" s="27"/>
      <c r="O8" s="27"/>
      <c r="P8" s="28"/>
      <c r="Q8" s="50" t="str">
        <f>IF(ISBLANK(F8),"",IF(F8=R8,"correct","incorrect"))</f>
        <v/>
      </c>
      <c r="R8" s="48">
        <v>3</v>
      </c>
      <c r="S8" s="49" t="str">
        <f>IF(AND(R8&gt;9,R8&lt;100),INDEX(super,LEFT(R8,1)+1,1)&amp;INDEX(super,RIGHT(R8,1)+1,1),INDEX(super,R8+1,1))</f>
        <v>³</v>
      </c>
      <c r="T8" s="49">
        <f>10^R8</f>
        <v>1000</v>
      </c>
      <c r="U8" s="28"/>
      <c r="V8" s="28"/>
      <c r="W8" s="28"/>
      <c r="X8" s="28"/>
      <c r="Y8" s="28"/>
      <c r="Z8" s="28"/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28"/>
      <c r="I9" s="28"/>
      <c r="J9" s="28"/>
      <c r="K9" s="27"/>
      <c r="L9" s="27"/>
      <c r="M9" s="27"/>
      <c r="N9" s="27"/>
      <c r="O9" s="27"/>
      <c r="P9" s="28"/>
      <c r="Q9" s="48"/>
      <c r="R9" s="48"/>
      <c r="S9" s="49"/>
      <c r="T9" s="49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53">
        <f>T10</f>
        <v>100000</v>
      </c>
      <c r="D10" s="45" t="s">
        <v>1</v>
      </c>
      <c r="E10" s="46">
        <v>10</v>
      </c>
      <c r="F10" s="54"/>
      <c r="G10" s="28"/>
      <c r="H10" s="28"/>
      <c r="I10" s="28"/>
      <c r="J10" s="28"/>
      <c r="K10" s="27"/>
      <c r="L10" s="27"/>
      <c r="M10" s="27"/>
      <c r="N10" s="27"/>
      <c r="O10" s="27"/>
      <c r="P10" s="28"/>
      <c r="Q10" s="50" t="str">
        <f>IF(ISBLANK(F10),"",IF(F10=R10,"correct","incorrect"))</f>
        <v/>
      </c>
      <c r="R10" s="48">
        <v>5</v>
      </c>
      <c r="S10" s="49" t="str">
        <f>IF(AND(R10&gt;9,R10&lt;100),INDEX(super,LEFT(R10,1)+1,1)&amp;INDEX(super,RIGHT(R10,1)+1,1),INDEX(super,R10+1,1))</f>
        <v>⁵</v>
      </c>
      <c r="T10" s="49">
        <f>10^R10</f>
        <v>100000</v>
      </c>
      <c r="U10" s="28"/>
      <c r="V10" s="28"/>
      <c r="W10" s="28"/>
      <c r="X10" s="28"/>
      <c r="Y10" s="28"/>
      <c r="Z10" s="28"/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28"/>
      <c r="I11" s="28"/>
      <c r="J11" s="28"/>
      <c r="K11" s="27"/>
      <c r="L11" s="27"/>
      <c r="M11" s="27"/>
      <c r="N11" s="27"/>
      <c r="O11" s="27"/>
      <c r="P11" s="28"/>
      <c r="Q11" s="48"/>
      <c r="R11" s="48"/>
      <c r="S11" s="49"/>
      <c r="T11" s="49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53">
        <f>T12</f>
        <v>10</v>
      </c>
      <c r="D12" s="45" t="s">
        <v>1</v>
      </c>
      <c r="E12" s="46">
        <v>10</v>
      </c>
      <c r="F12" s="54"/>
      <c r="G12" s="28"/>
      <c r="H12" s="28"/>
      <c r="I12" s="28"/>
      <c r="J12" s="28"/>
      <c r="K12" s="27"/>
      <c r="L12" s="27"/>
      <c r="M12" s="27"/>
      <c r="N12" s="27"/>
      <c r="O12" s="27"/>
      <c r="P12" s="28"/>
      <c r="Q12" s="50" t="str">
        <f>IF(ISBLANK(F12),"",IF(F12=R12,"correct","incorrect"))</f>
        <v/>
      </c>
      <c r="R12" s="48">
        <v>1</v>
      </c>
      <c r="S12" s="49" t="str">
        <f>IF(AND(R12&gt;9,R12&lt;100),INDEX(super,LEFT(R12,1)+1,1)&amp;INDEX(super,RIGHT(R12,1)+1,1),INDEX(super,R12+1,1))</f>
        <v>¹</v>
      </c>
      <c r="T12" s="49">
        <f>10^R12</f>
        <v>10</v>
      </c>
      <c r="U12" s="28"/>
      <c r="V12" s="28"/>
      <c r="W12" s="28"/>
      <c r="X12" s="28"/>
      <c r="Y12" s="28"/>
      <c r="Z12" s="28"/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28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53">
        <f>T14</f>
        <v>10000</v>
      </c>
      <c r="D14" s="45" t="s">
        <v>1</v>
      </c>
      <c r="E14" s="46">
        <v>10</v>
      </c>
      <c r="F14" s="54"/>
      <c r="G14" s="28"/>
      <c r="H14" s="28"/>
      <c r="I14" s="28"/>
      <c r="J14" s="28"/>
      <c r="K14" s="27"/>
      <c r="L14" s="27"/>
      <c r="M14" s="27"/>
      <c r="N14" s="27"/>
      <c r="O14" s="27"/>
      <c r="P14" s="28"/>
      <c r="Q14" s="50" t="str">
        <f>IF(ISBLANK(F14),"",IF(F14=R14,"correct","incorrect"))</f>
        <v/>
      </c>
      <c r="R14" s="48">
        <v>4</v>
      </c>
      <c r="S14" s="49" t="str">
        <f>IF(AND(R14&gt;9,R14&lt;100),INDEX(super,LEFT(R14,1)+1,1)&amp;INDEX(super,RIGHT(R14,1)+1,1),INDEX(super,R14+1,1))</f>
        <v>⁴</v>
      </c>
      <c r="T14" s="49">
        <f>10^R14</f>
        <v>10000</v>
      </c>
      <c r="U14" s="28"/>
      <c r="V14" s="28"/>
      <c r="W14" s="28"/>
      <c r="X14" s="28"/>
      <c r="Y14" s="28"/>
      <c r="Z14" s="28"/>
      <c r="AA14" s="28"/>
      <c r="AB14" s="27"/>
    </row>
    <row r="15" spans="1:28" s="2" customFormat="1" ht="28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spans="1:28" s="2" customFormat="1" ht="28" customHeight="1">
      <c r="A16" s="26"/>
      <c r="B16" s="29"/>
      <c r="C16" s="29"/>
      <c r="D16" s="27"/>
      <c r="E16" s="28"/>
      <c r="F16" s="28"/>
      <c r="G16" s="28"/>
      <c r="H16" s="28"/>
      <c r="I16" s="28"/>
      <c r="J16" s="28"/>
      <c r="K16" s="27"/>
      <c r="L16" s="27"/>
      <c r="M16" s="27"/>
      <c r="N16" s="27"/>
      <c r="O16" s="27"/>
      <c r="P16" s="28"/>
      <c r="Q16" s="27"/>
      <c r="R16" s="27"/>
      <c r="S16" s="28"/>
      <c r="T16" s="28"/>
      <c r="U16" s="28"/>
      <c r="V16" s="28"/>
      <c r="W16" s="28"/>
      <c r="X16" s="28"/>
      <c r="Y16" s="28"/>
      <c r="Z16" s="28"/>
      <c r="AA16" s="28"/>
      <c r="AB16" s="27"/>
    </row>
  </sheetData>
  <sheetProtection sheet="1" objects="1" scenarios="1" selectLockedCells="1"/>
  <phoneticPr fontId="54" type="noConversion"/>
  <conditionalFormatting sqref="P1">
    <cfRule type="cellIs" dxfId="322" priority="53" stopIfTrue="1" operator="lessThan">
      <formula>1</formula>
    </cfRule>
    <cfRule type="cellIs" dxfId="321" priority="54" stopIfTrue="1" operator="equal">
      <formula>1</formula>
    </cfRule>
  </conditionalFormatting>
  <conditionalFormatting sqref="F4">
    <cfRule type="expression" dxfId="320" priority="16">
      <formula>ISBLANK(F4)</formula>
    </cfRule>
    <cfRule type="expression" dxfId="319" priority="17">
      <formula>Q4="correct"</formula>
    </cfRule>
    <cfRule type="expression" dxfId="318" priority="18">
      <formula>Q4="incorrect"</formula>
    </cfRule>
  </conditionalFormatting>
  <conditionalFormatting sqref="F6">
    <cfRule type="expression" dxfId="317" priority="13">
      <formula>ISBLANK(F6)</formula>
    </cfRule>
    <cfRule type="expression" dxfId="316" priority="14">
      <formula>Q6="correct"</formula>
    </cfRule>
    <cfRule type="expression" dxfId="315" priority="15">
      <formula>Q6="incorrect"</formula>
    </cfRule>
  </conditionalFormatting>
  <conditionalFormatting sqref="F8">
    <cfRule type="expression" dxfId="314" priority="10">
      <formula>ISBLANK(F8)</formula>
    </cfRule>
    <cfRule type="expression" dxfId="313" priority="11">
      <formula>Q8="correct"</formula>
    </cfRule>
    <cfRule type="expression" dxfId="312" priority="12">
      <formula>Q8="incorrect"</formula>
    </cfRule>
  </conditionalFormatting>
  <conditionalFormatting sqref="F10">
    <cfRule type="expression" dxfId="311" priority="7">
      <formula>ISBLANK(F10)</formula>
    </cfRule>
    <cfRule type="expression" dxfId="310" priority="8">
      <formula>Q10="correct"</formula>
    </cfRule>
    <cfRule type="expression" dxfId="309" priority="9">
      <formula>Q10="incorrect"</formula>
    </cfRule>
  </conditionalFormatting>
  <conditionalFormatting sqref="F12">
    <cfRule type="expression" dxfId="308" priority="4">
      <formula>ISBLANK(F12)</formula>
    </cfRule>
    <cfRule type="expression" dxfId="307" priority="5">
      <formula>Q12="correct"</formula>
    </cfRule>
    <cfRule type="expression" dxfId="306" priority="6">
      <formula>Q12="incorrect"</formula>
    </cfRule>
  </conditionalFormatting>
  <conditionalFormatting sqref="F14">
    <cfRule type="expression" dxfId="305" priority="1">
      <formula>ISBLANK(F14)</formula>
    </cfRule>
    <cfRule type="expression" dxfId="304" priority="2">
      <formula>Q14="correct"</formula>
    </cfRule>
    <cfRule type="expression" dxfId="303" priority="3">
      <formula>Q14="incorrect"</formula>
    </cfRule>
  </conditionalFormatting>
  <hyperlinks>
    <hyperlink ref="AB1" location="'Powers of 10 Part 3'!A1" display="Next"/>
    <hyperlink ref="B1" location="'Powers of 10'!A1" display="Previous"/>
  </hyperlinks>
  <pageMargins left="0.59055118110236227" right="0.59055118110236227" top="0.39370078740157483" bottom="0.39370078740157483" header="0.51181102362204722" footer="0.51181102362204722"/>
  <pageSetup paperSize="9" scale="65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78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23.6640625" style="42" customWidth="1"/>
    <col min="6" max="7" width="4.6640625" style="41" customWidth="1"/>
    <col min="8" max="12" width="4.6640625" style="40" customWidth="1"/>
    <col min="13" max="13" width="14.1640625" style="41" customWidth="1"/>
    <col min="14" max="14" width="13.1640625" style="40" hidden="1" customWidth="1"/>
    <col min="15" max="15" width="4.83203125" style="40" hidden="1" customWidth="1"/>
    <col min="16" max="16" width="3" style="41" hidden="1" customWidth="1"/>
    <col min="17" max="17" width="15.1640625" style="41" hidden="1" customWidth="1"/>
    <col min="18" max="18" width="3" style="41" hidden="1" customWidth="1"/>
    <col min="19" max="19" width="6.5" style="41" hidden="1" customWidth="1"/>
    <col min="20" max="23" width="4.6640625" style="41" hidden="1" customWidth="1"/>
    <col min="24" max="24" width="4.6640625" style="41" customWidth="1" collapsed="1"/>
    <col min="25" max="25" width="11.5" style="40" customWidth="1"/>
    <col min="26" max="16384" width="11.5" style="1" hidden="1"/>
  </cols>
  <sheetData>
    <row r="1" spans="1:25" s="2" customFormat="1" ht="43" customHeight="1">
      <c r="A1" s="30"/>
      <c r="B1" s="70" t="s">
        <v>4</v>
      </c>
      <c r="C1" s="31"/>
      <c r="D1" s="32" t="str">
        <f ca="1">MID(CELL("filename",A1),FIND("]",CELL("filename",A1))+1,256)</f>
        <v>Powers of 10 Part 3</v>
      </c>
      <c r="E1" s="33"/>
      <c r="F1" s="34"/>
      <c r="G1" s="34"/>
      <c r="H1" s="35"/>
      <c r="I1" s="36"/>
      <c r="J1" s="36"/>
      <c r="K1" s="36"/>
      <c r="L1" s="30" t="s">
        <v>0</v>
      </c>
      <c r="M1" s="37">
        <f>(COUNTIF(N:N,"Correct")+COUNTIF(T:T,"Correct"))/(COUNTA(N:N)+COUNTA(T:T))</f>
        <v>0</v>
      </c>
      <c r="N1" s="68"/>
      <c r="O1" s="68"/>
      <c r="P1" s="69"/>
      <c r="Q1" s="69"/>
      <c r="R1" s="69"/>
      <c r="S1" s="69"/>
      <c r="T1" s="69"/>
      <c r="U1" s="69"/>
      <c r="V1" s="69"/>
      <c r="W1" s="69"/>
      <c r="X1" s="38"/>
      <c r="Y1" s="70" t="s">
        <v>3</v>
      </c>
    </row>
    <row r="2" spans="1:25" s="2" customFormat="1" ht="28" customHeight="1">
      <c r="A2" s="30"/>
      <c r="B2" s="43"/>
      <c r="C2" s="43" t="s">
        <v>22</v>
      </c>
      <c r="D2" s="36"/>
      <c r="E2" s="38"/>
      <c r="F2" s="38"/>
      <c r="G2" s="38"/>
      <c r="H2" s="36"/>
      <c r="I2" s="36"/>
      <c r="J2" s="36"/>
      <c r="K2" s="36"/>
      <c r="L2" s="36"/>
      <c r="M2" s="38"/>
      <c r="N2" s="68"/>
      <c r="O2" s="68"/>
      <c r="P2" s="69"/>
      <c r="Q2" s="69"/>
      <c r="R2" s="69"/>
      <c r="S2" s="69"/>
      <c r="T2" s="69"/>
      <c r="U2" s="69"/>
      <c r="V2" s="69"/>
      <c r="W2" s="69"/>
      <c r="X2" s="38"/>
      <c r="Y2" s="36"/>
    </row>
    <row r="3" spans="1:25" s="2" customFormat="1" ht="28" customHeight="1">
      <c r="A3" s="26"/>
      <c r="B3" s="29"/>
      <c r="C3" s="29"/>
      <c r="D3" s="27"/>
      <c r="E3" s="28"/>
      <c r="F3" s="28"/>
      <c r="G3" s="28"/>
      <c r="H3" s="27"/>
      <c r="I3" s="27"/>
      <c r="J3" s="27"/>
      <c r="K3" s="27"/>
      <c r="L3" s="27"/>
      <c r="M3" s="28"/>
      <c r="N3" s="27"/>
      <c r="O3" s="27"/>
      <c r="P3" s="28"/>
      <c r="Q3" s="28"/>
      <c r="R3" s="28"/>
      <c r="S3" s="28"/>
      <c r="T3" s="28"/>
      <c r="U3" s="28"/>
      <c r="V3" s="28"/>
      <c r="W3" s="28"/>
      <c r="X3" s="28"/>
      <c r="Y3" s="27"/>
    </row>
    <row r="4" spans="1:25" s="2" customFormat="1" ht="28" customHeight="1">
      <c r="A4" s="26"/>
      <c r="B4" s="52">
        <v>1</v>
      </c>
      <c r="C4" s="53" t="str">
        <f>R4&amp;" × "&amp;10&amp;P4</f>
        <v>7 × 10⁴</v>
      </c>
      <c r="D4" s="45" t="s">
        <v>1</v>
      </c>
      <c r="E4" s="57"/>
      <c r="F4" s="28"/>
      <c r="G4" s="28"/>
      <c r="H4" s="27"/>
      <c r="I4" s="27"/>
      <c r="J4" s="27"/>
      <c r="K4" s="27"/>
      <c r="L4" s="27"/>
      <c r="M4" s="28"/>
      <c r="N4" s="50"/>
      <c r="O4" s="48">
        <v>4</v>
      </c>
      <c r="P4" s="49" t="s">
        <v>15</v>
      </c>
      <c r="Q4" s="49">
        <v>10000</v>
      </c>
      <c r="R4" s="28">
        <v>7</v>
      </c>
      <c r="S4" s="28">
        <v>70000</v>
      </c>
      <c r="T4" s="50" t="str">
        <f>IF(ISBLANK(E4),"",IF(E4=S4,"correct","incorrect"))</f>
        <v/>
      </c>
      <c r="U4" s="28"/>
      <c r="V4" s="28"/>
      <c r="W4" s="28"/>
      <c r="X4" s="28"/>
      <c r="Y4" s="27"/>
    </row>
    <row r="5" spans="1:25" s="2" customFormat="1" ht="28" customHeight="1">
      <c r="A5" s="26"/>
      <c r="B5" s="29"/>
      <c r="C5" s="29"/>
      <c r="D5" s="27"/>
      <c r="E5" s="28"/>
      <c r="F5" s="28"/>
      <c r="G5" s="28"/>
      <c r="H5" s="27"/>
      <c r="I5" s="27"/>
      <c r="J5" s="27"/>
      <c r="K5" s="27"/>
      <c r="L5" s="27"/>
      <c r="M5" s="28"/>
      <c r="N5" s="48"/>
      <c r="O5" s="48"/>
      <c r="P5" s="49"/>
      <c r="Q5" s="49"/>
      <c r="R5" s="28"/>
      <c r="S5" s="28"/>
      <c r="T5" s="28"/>
      <c r="U5" s="28"/>
      <c r="V5" s="28"/>
      <c r="W5" s="28"/>
      <c r="X5" s="28"/>
      <c r="Y5" s="27"/>
    </row>
    <row r="6" spans="1:25" s="2" customFormat="1" ht="28" customHeight="1">
      <c r="A6" s="26"/>
      <c r="B6" s="52">
        <f>B4+1</f>
        <v>2</v>
      </c>
      <c r="C6" s="53" t="str">
        <f>R6&amp;" × "&amp;10&amp;P6</f>
        <v>8 × 10⁹</v>
      </c>
      <c r="D6" s="45" t="s">
        <v>1</v>
      </c>
      <c r="E6" s="57"/>
      <c r="F6" s="28"/>
      <c r="G6" s="28"/>
      <c r="H6" s="27"/>
      <c r="I6" s="27"/>
      <c r="J6" s="27"/>
      <c r="K6" s="27"/>
      <c r="L6" s="27"/>
      <c r="M6" s="28"/>
      <c r="N6" s="50"/>
      <c r="O6" s="48">
        <v>9</v>
      </c>
      <c r="P6" s="49" t="s">
        <v>10</v>
      </c>
      <c r="Q6" s="49">
        <v>1000000000</v>
      </c>
      <c r="R6" s="28">
        <v>8</v>
      </c>
      <c r="S6" s="28">
        <v>8000000000</v>
      </c>
      <c r="T6" s="50" t="str">
        <f>IF(ISBLANK(E6),"",IF(E6=S6,"correct","incorrect"))</f>
        <v/>
      </c>
      <c r="U6" s="28"/>
      <c r="V6" s="28"/>
      <c r="W6" s="28"/>
      <c r="X6" s="28"/>
      <c r="Y6" s="27"/>
    </row>
    <row r="7" spans="1:25" s="2" customFormat="1" ht="28" customHeight="1">
      <c r="A7" s="26"/>
      <c r="B7" s="29"/>
      <c r="C7" s="29"/>
      <c r="D7" s="27"/>
      <c r="E7" s="28"/>
      <c r="F7" s="28"/>
      <c r="G7" s="28"/>
      <c r="H7" s="27"/>
      <c r="I7" s="27"/>
      <c r="J7" s="27"/>
      <c r="K7" s="27"/>
      <c r="L7" s="27"/>
      <c r="M7" s="28"/>
      <c r="N7" s="48"/>
      <c r="O7" s="48"/>
      <c r="P7" s="49"/>
      <c r="Q7" s="49"/>
      <c r="R7" s="28"/>
      <c r="S7" s="28"/>
      <c r="T7" s="28"/>
      <c r="U7" s="28"/>
      <c r="V7" s="28"/>
      <c r="W7" s="28"/>
      <c r="X7" s="28"/>
      <c r="Y7" s="27"/>
    </row>
    <row r="8" spans="1:25" s="2" customFormat="1" ht="28" customHeight="1">
      <c r="A8" s="26"/>
      <c r="B8" s="52">
        <f>B6+1</f>
        <v>3</v>
      </c>
      <c r="C8" s="53" t="str">
        <f>R8&amp;" × "&amp;10&amp;P8</f>
        <v>2 × 10⁵</v>
      </c>
      <c r="D8" s="45" t="s">
        <v>1</v>
      </c>
      <c r="E8" s="57"/>
      <c r="F8" s="28"/>
      <c r="G8" s="28"/>
      <c r="H8" s="27"/>
      <c r="I8" s="27"/>
      <c r="J8" s="27"/>
      <c r="K8" s="27"/>
      <c r="L8" s="27"/>
      <c r="M8" s="28"/>
      <c r="N8" s="50"/>
      <c r="O8" s="48">
        <v>5</v>
      </c>
      <c r="P8" s="49" t="s">
        <v>14</v>
      </c>
      <c r="Q8" s="49">
        <v>100000</v>
      </c>
      <c r="R8" s="28">
        <v>2</v>
      </c>
      <c r="S8" s="28">
        <v>200000</v>
      </c>
      <c r="T8" s="50" t="str">
        <f>IF(ISBLANK(E8),"",IF(E8=S8,"correct","incorrect"))</f>
        <v/>
      </c>
      <c r="U8" s="28"/>
      <c r="V8" s="28"/>
      <c r="W8" s="28"/>
      <c r="X8" s="28"/>
      <c r="Y8" s="27"/>
    </row>
    <row r="9" spans="1:25" s="2" customFormat="1" ht="28" customHeight="1">
      <c r="A9" s="26"/>
      <c r="B9" s="29"/>
      <c r="C9" s="29"/>
      <c r="D9" s="27"/>
      <c r="E9" s="28"/>
      <c r="F9" s="28"/>
      <c r="G9" s="28"/>
      <c r="H9" s="27"/>
      <c r="I9" s="27"/>
      <c r="J9" s="27"/>
      <c r="K9" s="27"/>
      <c r="L9" s="27"/>
      <c r="M9" s="28"/>
      <c r="N9" s="48"/>
      <c r="O9" s="48"/>
      <c r="P9" s="49"/>
      <c r="Q9" s="49"/>
      <c r="R9" s="28"/>
      <c r="S9" s="28"/>
      <c r="T9" s="28"/>
      <c r="U9" s="28"/>
      <c r="V9" s="28"/>
      <c r="W9" s="28"/>
      <c r="X9" s="28"/>
      <c r="Y9" s="27"/>
    </row>
    <row r="10" spans="1:25" s="2" customFormat="1" ht="28" customHeight="1">
      <c r="A10" s="26"/>
      <c r="B10" s="52">
        <f>B8+1</f>
        <v>4</v>
      </c>
      <c r="C10" s="53" t="str">
        <f>R10&amp;" × "&amp;10&amp;P10</f>
        <v>3 × 10³</v>
      </c>
      <c r="D10" s="45" t="s">
        <v>1</v>
      </c>
      <c r="E10" s="57"/>
      <c r="F10" s="28"/>
      <c r="G10" s="28"/>
      <c r="H10" s="27"/>
      <c r="I10" s="27"/>
      <c r="J10" s="27"/>
      <c r="K10" s="27"/>
      <c r="L10" s="27"/>
      <c r="M10" s="28"/>
      <c r="N10" s="50"/>
      <c r="O10" s="48">
        <v>3</v>
      </c>
      <c r="P10" s="49" t="s">
        <v>16</v>
      </c>
      <c r="Q10" s="49">
        <v>1000</v>
      </c>
      <c r="R10" s="28">
        <v>3</v>
      </c>
      <c r="S10" s="28">
        <v>3000</v>
      </c>
      <c r="T10" s="50" t="str">
        <f>IF(ISBLANK(E10),"",IF(E10=S10,"correct","incorrect"))</f>
        <v/>
      </c>
      <c r="U10" s="28"/>
      <c r="V10" s="28"/>
      <c r="W10" s="28"/>
      <c r="X10" s="28"/>
      <c r="Y10" s="27"/>
    </row>
    <row r="11" spans="1:25" s="2" customFormat="1" ht="28" customHeight="1">
      <c r="A11" s="26"/>
      <c r="B11" s="29"/>
      <c r="C11" s="29"/>
      <c r="D11" s="27"/>
      <c r="E11" s="28"/>
      <c r="F11" s="28"/>
      <c r="G11" s="28"/>
      <c r="H11" s="27"/>
      <c r="I11" s="27"/>
      <c r="J11" s="27"/>
      <c r="K11" s="27"/>
      <c r="L11" s="27"/>
      <c r="M11" s="28"/>
      <c r="N11" s="48"/>
      <c r="O11" s="48"/>
      <c r="P11" s="49"/>
      <c r="Q11" s="49"/>
      <c r="R11" s="28"/>
      <c r="S11" s="28"/>
      <c r="T11" s="28"/>
      <c r="U11" s="28"/>
      <c r="V11" s="28"/>
      <c r="W11" s="28"/>
      <c r="X11" s="28"/>
      <c r="Y11" s="27"/>
    </row>
    <row r="12" spans="1:25" s="2" customFormat="1" ht="28" customHeight="1">
      <c r="A12" s="26"/>
      <c r="B12" s="52">
        <f>B10+1</f>
        <v>5</v>
      </c>
      <c r="C12" s="53" t="str">
        <f>R12&amp;" × "&amp;10&amp;P12</f>
        <v>4 × 10¹</v>
      </c>
      <c r="D12" s="45" t="s">
        <v>1</v>
      </c>
      <c r="E12" s="57"/>
      <c r="F12" s="28"/>
      <c r="G12" s="28"/>
      <c r="H12" s="27"/>
      <c r="I12" s="27"/>
      <c r="J12" s="27"/>
      <c r="K12" s="27"/>
      <c r="L12" s="27"/>
      <c r="M12" s="28"/>
      <c r="N12" s="50"/>
      <c r="O12" s="48">
        <v>1</v>
      </c>
      <c r="P12" s="49" t="s">
        <v>17</v>
      </c>
      <c r="Q12" s="49">
        <v>10</v>
      </c>
      <c r="R12" s="28">
        <v>4</v>
      </c>
      <c r="S12" s="28">
        <v>40</v>
      </c>
      <c r="T12" s="50" t="str">
        <f>IF(ISBLANK(E12),"",IF(E12=S12,"correct","incorrect"))</f>
        <v/>
      </c>
      <c r="U12" s="28"/>
      <c r="V12" s="28"/>
      <c r="W12" s="28"/>
      <c r="X12" s="28"/>
      <c r="Y12" s="27"/>
    </row>
    <row r="13" spans="1:25" s="2" customFormat="1" ht="28" customHeight="1">
      <c r="A13" s="26"/>
      <c r="B13" s="29"/>
      <c r="C13" s="29"/>
      <c r="D13" s="27"/>
      <c r="E13" s="28"/>
      <c r="F13" s="28"/>
      <c r="G13" s="28"/>
      <c r="H13" s="27"/>
      <c r="I13" s="27"/>
      <c r="J13" s="27"/>
      <c r="K13" s="27"/>
      <c r="L13" s="27"/>
      <c r="M13" s="28"/>
      <c r="N13" s="48"/>
      <c r="O13" s="48"/>
      <c r="P13" s="49"/>
      <c r="Q13" s="49"/>
      <c r="R13" s="28"/>
      <c r="S13" s="28"/>
      <c r="T13" s="28"/>
      <c r="U13" s="28"/>
      <c r="V13" s="28"/>
      <c r="W13" s="28"/>
      <c r="X13" s="28"/>
      <c r="Y13" s="27"/>
    </row>
    <row r="14" spans="1:25" s="2" customFormat="1" ht="28" customHeight="1">
      <c r="A14" s="26"/>
      <c r="B14" s="52">
        <f>B12+1</f>
        <v>6</v>
      </c>
      <c r="C14" s="53" t="str">
        <f>R14&amp;" × "&amp;10&amp;P14</f>
        <v>1 × 10¹</v>
      </c>
      <c r="D14" s="45" t="s">
        <v>1</v>
      </c>
      <c r="E14" s="57"/>
      <c r="F14" s="28"/>
      <c r="G14" s="28"/>
      <c r="H14" s="27"/>
      <c r="I14" s="27"/>
      <c r="J14" s="27"/>
      <c r="K14" s="27"/>
      <c r="L14" s="27"/>
      <c r="M14" s="28"/>
      <c r="N14" s="50"/>
      <c r="O14" s="48">
        <v>1</v>
      </c>
      <c r="P14" s="49" t="s">
        <v>17</v>
      </c>
      <c r="Q14" s="49">
        <v>10</v>
      </c>
      <c r="R14" s="28">
        <v>1</v>
      </c>
      <c r="S14" s="28">
        <v>10</v>
      </c>
      <c r="T14" s="50" t="str">
        <f>IF(ISBLANK(E14),"",IF(E14=S14,"correct","incorrect"))</f>
        <v/>
      </c>
      <c r="U14" s="28"/>
      <c r="V14" s="28"/>
      <c r="W14" s="28"/>
      <c r="X14" s="28"/>
      <c r="Y14" s="27"/>
    </row>
    <row r="15" spans="1:25" s="2" customFormat="1" ht="28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spans="1:25" s="2" customFormat="1" ht="28" customHeight="1">
      <c r="A16" s="26"/>
      <c r="B16" s="29"/>
      <c r="C16" s="29"/>
      <c r="D16" s="27"/>
      <c r="E16" s="28"/>
      <c r="F16" s="28"/>
      <c r="G16" s="28"/>
      <c r="H16" s="27"/>
      <c r="I16" s="27"/>
      <c r="J16" s="27"/>
      <c r="K16" s="27"/>
      <c r="L16" s="27"/>
      <c r="M16" s="28"/>
      <c r="N16" s="27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7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</sheetData>
  <sheetProtection sheet="1" objects="1" scenarios="1" selectLockedCells="1"/>
  <phoneticPr fontId="54" type="noConversion"/>
  <conditionalFormatting sqref="M1">
    <cfRule type="cellIs" dxfId="302" priority="67" stopIfTrue="1" operator="lessThan">
      <formula>1</formula>
    </cfRule>
    <cfRule type="cellIs" dxfId="301" priority="68" stopIfTrue="1" operator="equal">
      <formula>1</formula>
    </cfRule>
  </conditionalFormatting>
  <conditionalFormatting sqref="E4">
    <cfRule type="expression" dxfId="300" priority="64">
      <formula>ISBLANK(E4)</formula>
    </cfRule>
    <cfRule type="expression" dxfId="299" priority="65">
      <formula>T4="correct"</formula>
    </cfRule>
    <cfRule type="expression" dxfId="298" priority="66">
      <formula>T4="incorrect"</formula>
    </cfRule>
  </conditionalFormatting>
  <conditionalFormatting sqref="E6">
    <cfRule type="expression" dxfId="297" priority="13">
      <formula>ISBLANK(E6)</formula>
    </cfRule>
    <cfRule type="expression" dxfId="296" priority="14">
      <formula>T6="correct"</formula>
    </cfRule>
    <cfRule type="expression" dxfId="295" priority="15">
      <formula>T6="incorrect"</formula>
    </cfRule>
  </conditionalFormatting>
  <conditionalFormatting sqref="E8">
    <cfRule type="expression" dxfId="294" priority="10">
      <formula>ISBLANK(E8)</formula>
    </cfRule>
    <cfRule type="expression" dxfId="293" priority="11">
      <formula>T8="correct"</formula>
    </cfRule>
    <cfRule type="expression" dxfId="292" priority="12">
      <formula>T8="incorrect"</formula>
    </cfRule>
  </conditionalFormatting>
  <conditionalFormatting sqref="E10">
    <cfRule type="expression" dxfId="291" priority="7">
      <formula>ISBLANK(E10)</formula>
    </cfRule>
    <cfRule type="expression" dxfId="290" priority="8">
      <formula>T10="correct"</formula>
    </cfRule>
    <cfRule type="expression" dxfId="289" priority="9">
      <formula>T10="incorrect"</formula>
    </cfRule>
  </conditionalFormatting>
  <conditionalFormatting sqref="E12">
    <cfRule type="expression" dxfId="288" priority="4">
      <formula>ISBLANK(E12)</formula>
    </cfRule>
    <cfRule type="expression" dxfId="287" priority="5">
      <formula>T12="correct"</formula>
    </cfRule>
    <cfRule type="expression" dxfId="286" priority="6">
      <formula>T12="incorrect"</formula>
    </cfRule>
  </conditionalFormatting>
  <conditionalFormatting sqref="E14">
    <cfRule type="expression" dxfId="285" priority="1">
      <formula>ISBLANK(E14)</formula>
    </cfRule>
    <cfRule type="expression" dxfId="284" priority="2">
      <formula>T14="correct"</formula>
    </cfRule>
    <cfRule type="expression" dxfId="283" priority="3">
      <formula>T14="incorrect"</formula>
    </cfRule>
  </conditionalFormatting>
  <hyperlinks>
    <hyperlink ref="Y1" location="'Powers of 10 Part 4'!A1" display="Next"/>
    <hyperlink ref="B1" location="'Powers of 10 Part 2'!A1" display="Previous"/>
  </hyperlinks>
  <pageMargins left="0.59055118110236227" right="0.59055118110236227" top="0.39370078740157483" bottom="0.39370078740157483" header="0.51181102362204722" footer="0.51181102362204722"/>
  <pageSetup paperSize="9" scale="64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78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6.6640625" style="42" customWidth="1"/>
    <col min="6" max="6" width="4.6640625" style="42" customWidth="1"/>
    <col min="7" max="7" width="5.6640625" style="42" customWidth="1"/>
    <col min="8" max="8" width="4.6640625" style="42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3" style="41" hidden="1" customWidth="1"/>
    <col min="22" max="22" width="6.5" style="41" hidden="1" customWidth="1"/>
    <col min="23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31"/>
      <c r="D1" s="32" t="str">
        <f ca="1">MID(CELL("filename",A1),FIND("]",CELL("filename",A1))+1,256)</f>
        <v>Powers of 10 Part 4</v>
      </c>
      <c r="E1" s="33"/>
      <c r="F1" s="33"/>
      <c r="G1" s="33"/>
      <c r="H1" s="33"/>
      <c r="I1" s="34"/>
      <c r="J1" s="34"/>
      <c r="K1" s="35"/>
      <c r="L1" s="36"/>
      <c r="M1" s="36"/>
      <c r="N1" s="36"/>
      <c r="O1" s="30" t="s">
        <v>0</v>
      </c>
      <c r="P1" s="37">
        <f>(COUNTIF(Q:Q,"Correct")+COUNTIF(W:W,"Correct"))/(COUNTA(Q:Q)+COUNTA(W:W))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19</v>
      </c>
      <c r="D2" s="36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28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v>1</v>
      </c>
      <c r="C4" s="53">
        <f>V4</f>
        <v>400</v>
      </c>
      <c r="D4" s="45" t="s">
        <v>1</v>
      </c>
      <c r="E4" s="56"/>
      <c r="F4" s="55" t="s">
        <v>21</v>
      </c>
      <c r="G4" s="55">
        <v>10</v>
      </c>
      <c r="H4" s="54"/>
      <c r="I4" s="28"/>
      <c r="J4" s="28"/>
      <c r="K4" s="27"/>
      <c r="L4" s="27"/>
      <c r="M4" s="27"/>
      <c r="N4" s="27"/>
      <c r="O4" s="27"/>
      <c r="P4" s="28"/>
      <c r="Q4" s="50" t="str">
        <f>IF(ISBLANK(H4),"",IF(H4=R4,"correct","incorrect"))</f>
        <v/>
      </c>
      <c r="R4" s="48">
        <v>2</v>
      </c>
      <c r="S4" s="49" t="str">
        <f>IF(AND(R4&gt;9,R4&lt;100),INDEX(super,LEFT(R4,1)+1,1)&amp;INDEX(super,RIGHT(R4,1)+1,1),INDEX(super,R4+1,1))</f>
        <v>²</v>
      </c>
      <c r="T4" s="49">
        <f>10^R4</f>
        <v>100</v>
      </c>
      <c r="U4" s="28">
        <v>4</v>
      </c>
      <c r="V4" s="28">
        <f>U4*T4</f>
        <v>400</v>
      </c>
      <c r="W4" s="50" t="str">
        <f>IF(ISBLANK(E4),"",IF(E4=U4,"correct","incorrect"))</f>
        <v/>
      </c>
      <c r="X4" s="28"/>
      <c r="Y4" s="28"/>
      <c r="Z4" s="28"/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28"/>
      <c r="I5" s="28"/>
      <c r="J5" s="28"/>
      <c r="K5" s="27"/>
      <c r="L5" s="27"/>
      <c r="M5" s="27"/>
      <c r="N5" s="27"/>
      <c r="O5" s="27"/>
      <c r="P5" s="28"/>
      <c r="Q5" s="48"/>
      <c r="R5" s="48"/>
      <c r="S5" s="49"/>
      <c r="T5" s="49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53">
        <f>V6</f>
        <v>20000000</v>
      </c>
      <c r="D6" s="45" t="s">
        <v>1</v>
      </c>
      <c r="E6" s="56"/>
      <c r="F6" s="55" t="s">
        <v>21</v>
      </c>
      <c r="G6" s="55">
        <v>10</v>
      </c>
      <c r="H6" s="54"/>
      <c r="I6" s="28"/>
      <c r="J6" s="28"/>
      <c r="K6" s="27"/>
      <c r="L6" s="27"/>
      <c r="M6" s="27"/>
      <c r="N6" s="27"/>
      <c r="O6" s="27"/>
      <c r="P6" s="28"/>
      <c r="Q6" s="50" t="str">
        <f>IF(ISBLANK(H6),"",IF(H6=R6,"correct","incorrect"))</f>
        <v/>
      </c>
      <c r="R6" s="48">
        <v>7</v>
      </c>
      <c r="S6" s="49" t="str">
        <f>IF(AND(R6&gt;9,R6&lt;100),INDEX(super,LEFT(R6,1)+1,1)&amp;INDEX(super,RIGHT(R6,1)+1,1),INDEX(super,R6+1,1))</f>
        <v>⁷</v>
      </c>
      <c r="T6" s="49">
        <f>10^R6</f>
        <v>10000000</v>
      </c>
      <c r="U6" s="28">
        <v>2</v>
      </c>
      <c r="V6" s="28">
        <f>U6*T6</f>
        <v>20000000</v>
      </c>
      <c r="W6" s="50" t="str">
        <f>IF(ISBLANK(E6),"",IF(E6=U6,"correct","incorrect"))</f>
        <v/>
      </c>
      <c r="X6" s="28"/>
      <c r="Y6" s="28"/>
      <c r="Z6" s="28"/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28"/>
      <c r="I7" s="28"/>
      <c r="J7" s="28"/>
      <c r="K7" s="27"/>
      <c r="L7" s="27"/>
      <c r="M7" s="27"/>
      <c r="N7" s="27"/>
      <c r="O7" s="27"/>
      <c r="P7" s="28"/>
      <c r="Q7" s="48"/>
      <c r="R7" s="48"/>
      <c r="S7" s="49"/>
      <c r="T7" s="49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53">
        <f>V8</f>
        <v>80</v>
      </c>
      <c r="D8" s="45" t="s">
        <v>1</v>
      </c>
      <c r="E8" s="56"/>
      <c r="F8" s="55" t="s">
        <v>21</v>
      </c>
      <c r="G8" s="55">
        <v>10</v>
      </c>
      <c r="H8" s="54"/>
      <c r="I8" s="28"/>
      <c r="J8" s="28"/>
      <c r="K8" s="27"/>
      <c r="L8" s="27"/>
      <c r="M8" s="27"/>
      <c r="N8" s="27"/>
      <c r="O8" s="27"/>
      <c r="P8" s="28"/>
      <c r="Q8" s="50" t="str">
        <f>IF(ISBLANK(H8),"",IF(H8=R8,"correct","incorrect"))</f>
        <v/>
      </c>
      <c r="R8" s="48">
        <v>1</v>
      </c>
      <c r="S8" s="49" t="str">
        <f>IF(AND(R8&gt;9,R8&lt;100),INDEX(super,LEFT(R8,1)+1,1)&amp;INDEX(super,RIGHT(R8,1)+1,1),INDEX(super,R8+1,1))</f>
        <v>¹</v>
      </c>
      <c r="T8" s="49">
        <f>10^R8</f>
        <v>10</v>
      </c>
      <c r="U8" s="28">
        <v>8</v>
      </c>
      <c r="V8" s="28">
        <f>U8*T8</f>
        <v>80</v>
      </c>
      <c r="W8" s="50" t="str">
        <f>IF(ISBLANK(E8),"",IF(E8=U8,"correct","incorrect"))</f>
        <v/>
      </c>
      <c r="X8" s="28"/>
      <c r="Y8" s="28"/>
      <c r="Z8" s="28"/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28"/>
      <c r="I9" s="28"/>
      <c r="J9" s="28"/>
      <c r="K9" s="27"/>
      <c r="L9" s="27"/>
      <c r="M9" s="27"/>
      <c r="N9" s="27"/>
      <c r="O9" s="27"/>
      <c r="P9" s="28"/>
      <c r="Q9" s="48"/>
      <c r="R9" s="48"/>
      <c r="S9" s="49"/>
      <c r="T9" s="49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53">
        <f>V10</f>
        <v>9000</v>
      </c>
      <c r="D10" s="45" t="s">
        <v>1</v>
      </c>
      <c r="E10" s="56"/>
      <c r="F10" s="55" t="s">
        <v>21</v>
      </c>
      <c r="G10" s="55">
        <v>10</v>
      </c>
      <c r="H10" s="54"/>
      <c r="I10" s="28"/>
      <c r="J10" s="28"/>
      <c r="K10" s="27"/>
      <c r="L10" s="27"/>
      <c r="M10" s="27"/>
      <c r="N10" s="27"/>
      <c r="O10" s="27"/>
      <c r="P10" s="28"/>
      <c r="Q10" s="50" t="str">
        <f>IF(ISBLANK(H10),"",IF(H10=R10,"correct","incorrect"))</f>
        <v/>
      </c>
      <c r="R10" s="48">
        <v>3</v>
      </c>
      <c r="S10" s="49" t="str">
        <f>IF(AND(R10&gt;9,R10&lt;100),INDEX(super,LEFT(R10,1)+1,1)&amp;INDEX(super,RIGHT(R10,1)+1,1),INDEX(super,R10+1,1))</f>
        <v>³</v>
      </c>
      <c r="T10" s="49">
        <f>10^R10</f>
        <v>1000</v>
      </c>
      <c r="U10" s="28">
        <v>9</v>
      </c>
      <c r="V10" s="28">
        <f>U10*T10</f>
        <v>9000</v>
      </c>
      <c r="W10" s="50" t="str">
        <f>IF(ISBLANK(E10),"",IF(E10=U10,"correct","incorrect"))</f>
        <v/>
      </c>
      <c r="X10" s="28"/>
      <c r="Y10" s="28"/>
      <c r="Z10" s="28"/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28"/>
      <c r="I11" s="28"/>
      <c r="J11" s="28"/>
      <c r="K11" s="27"/>
      <c r="L11" s="27"/>
      <c r="M11" s="27"/>
      <c r="N11" s="27"/>
      <c r="O11" s="27"/>
      <c r="P11" s="28"/>
      <c r="Q11" s="48"/>
      <c r="R11" s="48"/>
      <c r="S11" s="49"/>
      <c r="T11" s="49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53">
        <f>V12</f>
        <v>300000</v>
      </c>
      <c r="D12" s="45" t="s">
        <v>1</v>
      </c>
      <c r="E12" s="56"/>
      <c r="F12" s="55" t="s">
        <v>21</v>
      </c>
      <c r="G12" s="55">
        <v>10</v>
      </c>
      <c r="H12" s="54"/>
      <c r="I12" s="28"/>
      <c r="J12" s="28"/>
      <c r="K12" s="27"/>
      <c r="L12" s="27"/>
      <c r="M12" s="27"/>
      <c r="N12" s="27"/>
      <c r="O12" s="27"/>
      <c r="P12" s="28"/>
      <c r="Q12" s="50" t="str">
        <f>IF(ISBLANK(H12),"",IF(H12=R12,"correct","incorrect"))</f>
        <v/>
      </c>
      <c r="R12" s="48">
        <v>5</v>
      </c>
      <c r="S12" s="49" t="str">
        <f>IF(AND(R12&gt;9,R12&lt;100),INDEX(super,LEFT(R12,1)+1,1)&amp;INDEX(super,RIGHT(R12,1)+1,1),INDEX(super,R12+1,1))</f>
        <v>⁵</v>
      </c>
      <c r="T12" s="49">
        <f>10^R12</f>
        <v>100000</v>
      </c>
      <c r="U12" s="28">
        <v>3</v>
      </c>
      <c r="V12" s="28">
        <f>U12*T12</f>
        <v>300000</v>
      </c>
      <c r="W12" s="50" t="str">
        <f>IF(ISBLANK(E12),"",IF(E12=U12,"correct","incorrect"))</f>
        <v/>
      </c>
      <c r="X12" s="28"/>
      <c r="Y12" s="28"/>
      <c r="Z12" s="28"/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28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53">
        <f>V14</f>
        <v>10000</v>
      </c>
      <c r="D14" s="45" t="s">
        <v>1</v>
      </c>
      <c r="E14" s="56"/>
      <c r="F14" s="55" t="s">
        <v>21</v>
      </c>
      <c r="G14" s="55">
        <v>10</v>
      </c>
      <c r="H14" s="54"/>
      <c r="I14" s="28"/>
      <c r="J14" s="28"/>
      <c r="K14" s="27"/>
      <c r="L14" s="27"/>
      <c r="M14" s="27"/>
      <c r="N14" s="27"/>
      <c r="O14" s="27"/>
      <c r="P14" s="28"/>
      <c r="Q14" s="50" t="str">
        <f>IF(ISBLANK(H14),"",IF(H14=R14,"correct","incorrect"))</f>
        <v/>
      </c>
      <c r="R14" s="48">
        <v>4</v>
      </c>
      <c r="S14" s="49" t="str">
        <f>IF(AND(R14&gt;9,R14&lt;100),INDEX(super,LEFT(R14,1)+1,1)&amp;INDEX(super,RIGHT(R14,1)+1,1),INDEX(super,R14+1,1))</f>
        <v>⁴</v>
      </c>
      <c r="T14" s="49">
        <f>10^R14</f>
        <v>10000</v>
      </c>
      <c r="U14" s="28">
        <v>1</v>
      </c>
      <c r="V14" s="28">
        <f>U14*T14</f>
        <v>10000</v>
      </c>
      <c r="W14" s="50" t="str">
        <f>IF(ISBLANK(E14),"",IF(E14=U14,"correct","incorrect"))</f>
        <v/>
      </c>
      <c r="X14" s="28"/>
      <c r="Y14" s="28"/>
      <c r="Z14" s="28"/>
      <c r="AA14" s="28"/>
      <c r="AB14" s="27"/>
    </row>
    <row r="15" spans="1:28" s="2" customFormat="1" ht="28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spans="1:28" s="2" customFormat="1" ht="28" customHeight="1">
      <c r="A16" s="26"/>
      <c r="B16" s="29"/>
      <c r="C16" s="29"/>
      <c r="D16" s="27"/>
      <c r="E16" s="28"/>
      <c r="F16" s="28"/>
      <c r="G16" s="28"/>
      <c r="H16" s="28"/>
      <c r="I16" s="28"/>
      <c r="J16" s="28"/>
      <c r="K16" s="27"/>
      <c r="L16" s="27"/>
      <c r="M16" s="27"/>
      <c r="N16" s="27"/>
      <c r="O16" s="27"/>
      <c r="P16" s="28"/>
      <c r="Q16" s="27"/>
      <c r="R16" s="27"/>
      <c r="S16" s="28"/>
      <c r="T16" s="28"/>
      <c r="U16" s="28"/>
      <c r="V16" s="28"/>
      <c r="W16" s="28"/>
      <c r="X16" s="28"/>
      <c r="Y16" s="28"/>
      <c r="Z16" s="28"/>
      <c r="AA16" s="28"/>
      <c r="AB16" s="27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</sheetData>
  <sheetProtection sheet="1" objects="1" scenarios="1" selectLockedCells="1"/>
  <phoneticPr fontId="54" type="noConversion"/>
  <conditionalFormatting sqref="P1">
    <cfRule type="cellIs" dxfId="282" priority="67" stopIfTrue="1" operator="lessThan">
      <formula>1</formula>
    </cfRule>
    <cfRule type="cellIs" dxfId="281" priority="68" stopIfTrue="1" operator="equal">
      <formula>1</formula>
    </cfRule>
  </conditionalFormatting>
  <conditionalFormatting sqref="E4">
    <cfRule type="expression" dxfId="280" priority="64">
      <formula>ISBLANK(E4)</formula>
    </cfRule>
    <cfRule type="expression" dxfId="279" priority="65">
      <formula>W4="correct"</formula>
    </cfRule>
    <cfRule type="expression" dxfId="278" priority="66">
      <formula>W4="incorrect"</formula>
    </cfRule>
  </conditionalFormatting>
  <conditionalFormatting sqref="H4">
    <cfRule type="expression" dxfId="277" priority="46">
      <formula>ISBLANK(H4)</formula>
    </cfRule>
    <cfRule type="expression" dxfId="276" priority="47">
      <formula>Q4="correct"</formula>
    </cfRule>
    <cfRule type="expression" dxfId="275" priority="48">
      <formula>Q4="incorrect"</formula>
    </cfRule>
  </conditionalFormatting>
  <conditionalFormatting sqref="E6">
    <cfRule type="expression" dxfId="274" priority="28">
      <formula>ISBLANK(E6)</formula>
    </cfRule>
    <cfRule type="expression" dxfId="273" priority="29">
      <formula>W6="correct"</formula>
    </cfRule>
    <cfRule type="expression" dxfId="272" priority="30">
      <formula>W6="incorrect"</formula>
    </cfRule>
  </conditionalFormatting>
  <conditionalFormatting sqref="H6">
    <cfRule type="expression" dxfId="271" priority="25">
      <formula>ISBLANK(H6)</formula>
    </cfRule>
    <cfRule type="expression" dxfId="270" priority="26">
      <formula>Q6="correct"</formula>
    </cfRule>
    <cfRule type="expression" dxfId="269" priority="27">
      <formula>Q6="incorrect"</formula>
    </cfRule>
  </conditionalFormatting>
  <conditionalFormatting sqref="E8">
    <cfRule type="expression" dxfId="268" priority="22">
      <formula>ISBLANK(E8)</formula>
    </cfRule>
    <cfRule type="expression" dxfId="267" priority="23">
      <formula>W8="correct"</formula>
    </cfRule>
    <cfRule type="expression" dxfId="266" priority="24">
      <formula>W8="incorrect"</formula>
    </cfRule>
  </conditionalFormatting>
  <conditionalFormatting sqref="H8">
    <cfRule type="expression" dxfId="265" priority="19">
      <formula>ISBLANK(H8)</formula>
    </cfRule>
    <cfRule type="expression" dxfId="264" priority="20">
      <formula>Q8="correct"</formula>
    </cfRule>
    <cfRule type="expression" dxfId="263" priority="21">
      <formula>Q8="incorrect"</formula>
    </cfRule>
  </conditionalFormatting>
  <conditionalFormatting sqref="E10">
    <cfRule type="expression" dxfId="262" priority="16">
      <formula>ISBLANK(E10)</formula>
    </cfRule>
    <cfRule type="expression" dxfId="261" priority="17">
      <formula>W10="correct"</formula>
    </cfRule>
    <cfRule type="expression" dxfId="260" priority="18">
      <formula>W10="incorrect"</formula>
    </cfRule>
  </conditionalFormatting>
  <conditionalFormatting sqref="H10">
    <cfRule type="expression" dxfId="259" priority="13">
      <formula>ISBLANK(H10)</formula>
    </cfRule>
    <cfRule type="expression" dxfId="258" priority="14">
      <formula>Q10="correct"</formula>
    </cfRule>
    <cfRule type="expression" dxfId="257" priority="15">
      <formula>Q10="incorrect"</formula>
    </cfRule>
  </conditionalFormatting>
  <conditionalFormatting sqref="E12">
    <cfRule type="expression" dxfId="256" priority="10">
      <formula>ISBLANK(E12)</formula>
    </cfRule>
    <cfRule type="expression" dxfId="255" priority="11">
      <formula>W12="correct"</formula>
    </cfRule>
    <cfRule type="expression" dxfId="254" priority="12">
      <formula>W12="incorrect"</formula>
    </cfRule>
  </conditionalFormatting>
  <conditionalFormatting sqref="H12">
    <cfRule type="expression" dxfId="253" priority="7">
      <formula>ISBLANK(H12)</formula>
    </cfRule>
    <cfRule type="expression" dxfId="252" priority="8">
      <formula>Q12="correct"</formula>
    </cfRule>
    <cfRule type="expression" dxfId="251" priority="9">
      <formula>Q12="incorrect"</formula>
    </cfRule>
  </conditionalFormatting>
  <conditionalFormatting sqref="E14">
    <cfRule type="expression" dxfId="250" priority="4">
      <formula>ISBLANK(E14)</formula>
    </cfRule>
    <cfRule type="expression" dxfId="249" priority="5">
      <formula>W14="correct"</formula>
    </cfRule>
    <cfRule type="expression" dxfId="248" priority="6">
      <formula>W14="incorrect"</formula>
    </cfRule>
  </conditionalFormatting>
  <conditionalFormatting sqref="H14">
    <cfRule type="expression" dxfId="247" priority="1">
      <formula>ISBLANK(H14)</formula>
    </cfRule>
    <cfRule type="expression" dxfId="246" priority="2">
      <formula>Q14="correct"</formula>
    </cfRule>
    <cfRule type="expression" dxfId="245" priority="3">
      <formula>Q14="incorrect"</formula>
    </cfRule>
  </conditionalFormatting>
  <hyperlinks>
    <hyperlink ref="AB1" location="'Powers of 10 Part 5'!A1" display="Next"/>
    <hyperlink ref="B1" location="'Powers of 10 Part 3'!A1" display="Previous"/>
  </hyperlinks>
  <pageMargins left="0.59055118110236227" right="0.59055118110236227" top="0.39370078740157483" bottom="0.39370078740157483" header="0.51181102362204722" footer="0.51181102362204722"/>
  <pageSetup paperSize="9" scale="65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78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3" width="11.6640625" style="40" customWidth="1"/>
    <col min="4" max="4" width="4.6640625" style="40" customWidth="1"/>
    <col min="5" max="5" width="22.6640625" style="42" customWidth="1"/>
    <col min="6" max="8" width="4.6640625" style="42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3" style="41" hidden="1" customWidth="1"/>
    <col min="22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31"/>
      <c r="D1" s="32" t="str">
        <f ca="1">MID(CELL("filename",A1),FIND("]",CELL("filename",A1))+1,256)</f>
        <v>Powers of 10 Part 5</v>
      </c>
      <c r="E1" s="33"/>
      <c r="F1" s="33"/>
      <c r="G1" s="33"/>
      <c r="H1" s="33"/>
      <c r="I1" s="34"/>
      <c r="J1" s="34"/>
      <c r="K1" s="35"/>
      <c r="L1" s="36"/>
      <c r="M1" s="36"/>
      <c r="N1" s="36"/>
      <c r="O1" s="30" t="s">
        <v>0</v>
      </c>
      <c r="P1" s="37">
        <f>COUNTIF(Q:Q,"Correct")/COUNTA(Q:Q)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23</v>
      </c>
      <c r="D2" s="36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28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v>1</v>
      </c>
      <c r="C4" s="46" t="str">
        <f>10&amp;S4</f>
        <v>10⁻²</v>
      </c>
      <c r="D4" s="45" t="s">
        <v>1</v>
      </c>
      <c r="E4" s="58"/>
      <c r="F4" s="28"/>
      <c r="G4" s="28"/>
      <c r="H4" s="28"/>
      <c r="I4" s="28"/>
      <c r="J4" s="28"/>
      <c r="K4" s="27"/>
      <c r="L4" s="27"/>
      <c r="M4" s="27"/>
      <c r="N4" s="27"/>
      <c r="O4" s="27"/>
      <c r="P4" s="28"/>
      <c r="Q4" s="50" t="str">
        <f>IF(ISBLANK(E4),"",IF(E4=T4,"correct","incorrect"))</f>
        <v/>
      </c>
      <c r="R4" s="48">
        <v>2</v>
      </c>
      <c r="S4" s="49" t="str">
        <f>"⁻"&amp;IF(AND(R4&gt;9,R4&lt;100),INDEX(super,LEFT(R4,1)+1,1)&amp;INDEX(super,RIGHT(R4,1)+1,1),INDEX(super,R4+1,1))</f>
        <v>⁻²</v>
      </c>
      <c r="T4" s="49">
        <f>10^(-R4)</f>
        <v>0.01</v>
      </c>
      <c r="U4" s="28"/>
      <c r="V4" s="28"/>
      <c r="W4" s="28"/>
      <c r="X4" s="28"/>
      <c r="Y4" s="28"/>
      <c r="Z4" s="28"/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28"/>
      <c r="I5" s="28"/>
      <c r="J5" s="28"/>
      <c r="K5" s="27"/>
      <c r="L5" s="27"/>
      <c r="M5" s="27"/>
      <c r="N5" s="27"/>
      <c r="O5" s="27"/>
      <c r="P5" s="28"/>
      <c r="Q5" s="48"/>
      <c r="R5" s="48"/>
      <c r="S5" s="49"/>
      <c r="T5" s="49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46" t="str">
        <f>10&amp;S6</f>
        <v>10⁻⁵</v>
      </c>
      <c r="D6" s="45" t="s">
        <v>1</v>
      </c>
      <c r="E6" s="58"/>
      <c r="F6" s="28"/>
      <c r="G6" s="28"/>
      <c r="H6" s="28"/>
      <c r="I6" s="28"/>
      <c r="J6" s="28"/>
      <c r="K6" s="27"/>
      <c r="L6" s="27"/>
      <c r="M6" s="27"/>
      <c r="N6" s="27"/>
      <c r="O6" s="27"/>
      <c r="P6" s="28"/>
      <c r="Q6" s="50" t="str">
        <f>IF(ISBLANK(E6),"",IF(E6=T6,"correct","incorrect"))</f>
        <v/>
      </c>
      <c r="R6" s="48">
        <v>5</v>
      </c>
      <c r="S6" s="49" t="str">
        <f>"⁻"&amp;IF(AND(R6&gt;9,R6&lt;100),INDEX(super,LEFT(R6,1)+1,1)&amp;INDEX(super,RIGHT(R6,1)+1,1),INDEX(super,R6+1,1))</f>
        <v>⁻⁵</v>
      </c>
      <c r="T6" s="49">
        <f>10^(-R6)</f>
        <v>1.0000000000000001E-5</v>
      </c>
      <c r="U6" s="28"/>
      <c r="V6" s="28"/>
      <c r="W6" s="28"/>
      <c r="X6" s="28"/>
      <c r="Y6" s="28"/>
      <c r="Z6" s="28"/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28"/>
      <c r="I7" s="28"/>
      <c r="J7" s="28"/>
      <c r="K7" s="27"/>
      <c r="L7" s="27"/>
      <c r="M7" s="27"/>
      <c r="N7" s="27"/>
      <c r="O7" s="27"/>
      <c r="P7" s="28"/>
      <c r="Q7" s="48"/>
      <c r="R7" s="48"/>
      <c r="S7" s="49"/>
      <c r="T7" s="49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46" t="str">
        <f>10&amp;S8</f>
        <v>10⁻³</v>
      </c>
      <c r="D8" s="45" t="s">
        <v>1</v>
      </c>
      <c r="E8" s="58"/>
      <c r="F8" s="28"/>
      <c r="G8" s="28"/>
      <c r="H8" s="28"/>
      <c r="I8" s="28"/>
      <c r="J8" s="28"/>
      <c r="K8" s="27"/>
      <c r="L8" s="27"/>
      <c r="M8" s="27"/>
      <c r="N8" s="27"/>
      <c r="O8" s="27"/>
      <c r="P8" s="28"/>
      <c r="Q8" s="50" t="str">
        <f>IF(ISBLANK(E8),"",IF(E8=T8,"correct","incorrect"))</f>
        <v/>
      </c>
      <c r="R8" s="48">
        <v>3</v>
      </c>
      <c r="S8" s="49" t="str">
        <f>"⁻"&amp;IF(AND(R8&gt;9,R8&lt;100),INDEX(super,LEFT(R8,1)+1,1)&amp;INDEX(super,RIGHT(R8,1)+1,1),INDEX(super,R8+1,1))</f>
        <v>⁻³</v>
      </c>
      <c r="T8" s="49">
        <f>10^(-R8)</f>
        <v>1E-3</v>
      </c>
      <c r="U8" s="28"/>
      <c r="V8" s="28"/>
      <c r="W8" s="28"/>
      <c r="X8" s="28"/>
      <c r="Y8" s="28"/>
      <c r="Z8" s="28"/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28"/>
      <c r="I9" s="28"/>
      <c r="J9" s="28"/>
      <c r="K9" s="27"/>
      <c r="L9" s="27"/>
      <c r="M9" s="27"/>
      <c r="N9" s="27"/>
      <c r="O9" s="27"/>
      <c r="P9" s="28"/>
      <c r="Q9" s="48"/>
      <c r="R9" s="48"/>
      <c r="S9" s="49"/>
      <c r="T9" s="49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46" t="str">
        <f>10&amp;S10</f>
        <v>10⁻⁸</v>
      </c>
      <c r="D10" s="45" t="s">
        <v>1</v>
      </c>
      <c r="E10" s="58"/>
      <c r="F10" s="28"/>
      <c r="G10" s="28"/>
      <c r="H10" s="28"/>
      <c r="I10" s="28"/>
      <c r="J10" s="28"/>
      <c r="K10" s="27"/>
      <c r="L10" s="27"/>
      <c r="M10" s="27"/>
      <c r="N10" s="27"/>
      <c r="O10" s="27"/>
      <c r="P10" s="28"/>
      <c r="Q10" s="50" t="str">
        <f>IF(ISBLANK(E10),"",IF(E10=T10,"correct","incorrect"))</f>
        <v/>
      </c>
      <c r="R10" s="48">
        <v>8</v>
      </c>
      <c r="S10" s="49" t="str">
        <f>"⁻"&amp;IF(AND(R10&gt;9,R10&lt;100),INDEX(super,LEFT(R10,1)+1,1)&amp;INDEX(super,RIGHT(R10,1)+1,1),INDEX(super,R10+1,1))</f>
        <v>⁻⁸</v>
      </c>
      <c r="T10" s="49">
        <f>10^(-R10)</f>
        <v>1E-8</v>
      </c>
      <c r="U10" s="28"/>
      <c r="V10" s="28"/>
      <c r="W10" s="28"/>
      <c r="X10" s="28"/>
      <c r="Y10" s="28"/>
      <c r="Z10" s="28"/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28"/>
      <c r="I11" s="28"/>
      <c r="J11" s="28"/>
      <c r="K11" s="27"/>
      <c r="L11" s="27"/>
      <c r="M11" s="27"/>
      <c r="N11" s="27"/>
      <c r="O11" s="27"/>
      <c r="P11" s="28"/>
      <c r="Q11" s="48"/>
      <c r="R11" s="48"/>
      <c r="S11" s="49"/>
      <c r="T11" s="49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46" t="str">
        <f>10&amp;S12</f>
        <v>10⁻¹</v>
      </c>
      <c r="D12" s="45" t="s">
        <v>1</v>
      </c>
      <c r="E12" s="58"/>
      <c r="F12" s="28"/>
      <c r="G12" s="28"/>
      <c r="H12" s="28"/>
      <c r="I12" s="28"/>
      <c r="J12" s="28"/>
      <c r="K12" s="27"/>
      <c r="L12" s="27"/>
      <c r="M12" s="27"/>
      <c r="N12" s="27"/>
      <c r="O12" s="27"/>
      <c r="P12" s="28"/>
      <c r="Q12" s="50" t="str">
        <f>IF(ISBLANK(E12),"",IF(E12=T12,"correct","incorrect"))</f>
        <v/>
      </c>
      <c r="R12" s="48">
        <v>1</v>
      </c>
      <c r="S12" s="49" t="str">
        <f>"⁻"&amp;IF(AND(R12&gt;9,R12&lt;100),INDEX(super,LEFT(R12,1)+1,1)&amp;INDEX(super,RIGHT(R12,1)+1,1),INDEX(super,R12+1,1))</f>
        <v>⁻¹</v>
      </c>
      <c r="T12" s="49">
        <f>10^(-R12)</f>
        <v>0.1</v>
      </c>
      <c r="U12" s="28"/>
      <c r="V12" s="28"/>
      <c r="W12" s="28"/>
      <c r="X12" s="28"/>
      <c r="Y12" s="28"/>
      <c r="Z12" s="28"/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28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46" t="str">
        <f>10&amp;S14</f>
        <v>10⁻⁴</v>
      </c>
      <c r="D14" s="45" t="s">
        <v>1</v>
      </c>
      <c r="E14" s="58"/>
      <c r="F14" s="28"/>
      <c r="G14" s="28"/>
      <c r="H14" s="28"/>
      <c r="I14" s="28"/>
      <c r="J14" s="28"/>
      <c r="K14" s="27"/>
      <c r="L14" s="27"/>
      <c r="M14" s="27"/>
      <c r="N14" s="27"/>
      <c r="O14" s="27"/>
      <c r="P14" s="28"/>
      <c r="Q14" s="50" t="str">
        <f>IF(ISBLANK(E14),"",IF(E14=T14,"correct","incorrect"))</f>
        <v/>
      </c>
      <c r="R14" s="48">
        <v>4</v>
      </c>
      <c r="S14" s="49" t="str">
        <f>"⁻"&amp;IF(AND(R14&gt;9,R14&lt;100),INDEX(super,LEFT(R14,1)+1,1)&amp;INDEX(super,RIGHT(R14,1)+1,1),INDEX(super,R14+1,1))</f>
        <v>⁻⁴</v>
      </c>
      <c r="T14" s="49">
        <f>10^(-R14)</f>
        <v>1E-4</v>
      </c>
      <c r="U14" s="28"/>
      <c r="V14" s="28"/>
      <c r="W14" s="28"/>
      <c r="X14" s="28"/>
      <c r="Y14" s="28"/>
      <c r="Z14" s="28"/>
      <c r="AA14" s="28"/>
      <c r="AB14" s="27"/>
    </row>
    <row r="15" spans="1:28" s="2" customFormat="1" ht="28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spans="1:28" s="2" customFormat="1" ht="28" customHeight="1">
      <c r="A16" s="26"/>
      <c r="B16" s="29"/>
      <c r="C16" s="29"/>
      <c r="D16" s="27"/>
      <c r="E16" s="28"/>
      <c r="F16" s="28"/>
      <c r="G16" s="28"/>
      <c r="H16" s="28"/>
      <c r="I16" s="28"/>
      <c r="J16" s="28"/>
      <c r="K16" s="27"/>
      <c r="L16" s="27"/>
      <c r="M16" s="27"/>
      <c r="N16" s="27"/>
      <c r="O16" s="27"/>
      <c r="P16" s="28"/>
      <c r="Q16" s="27"/>
      <c r="R16" s="27"/>
      <c r="S16" s="28"/>
      <c r="T16" s="28"/>
      <c r="U16" s="28"/>
      <c r="V16" s="28"/>
      <c r="W16" s="28"/>
      <c r="X16" s="28"/>
      <c r="Y16" s="28"/>
      <c r="Z16" s="28"/>
      <c r="AA16" s="28"/>
      <c r="AB16" s="27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</sheetData>
  <sheetProtection sheet="1" objects="1" scenarios="1" selectLockedCells="1"/>
  <phoneticPr fontId="54" type="noConversion"/>
  <conditionalFormatting sqref="P1">
    <cfRule type="cellIs" dxfId="244" priority="49" stopIfTrue="1" operator="lessThan">
      <formula>1</formula>
    </cfRule>
    <cfRule type="cellIs" dxfId="243" priority="50" stopIfTrue="1" operator="equal">
      <formula>1</formula>
    </cfRule>
  </conditionalFormatting>
  <conditionalFormatting sqref="E4">
    <cfRule type="expression" dxfId="242" priority="46">
      <formula>ISBLANK(E4)</formula>
    </cfRule>
    <cfRule type="expression" dxfId="241" priority="47">
      <formula>Q4="correct"</formula>
    </cfRule>
    <cfRule type="expression" dxfId="240" priority="48">
      <formula>Q4="incorrect"</formula>
    </cfRule>
  </conditionalFormatting>
  <conditionalFormatting sqref="E6">
    <cfRule type="expression" dxfId="239" priority="13">
      <formula>ISBLANK(E6)</formula>
    </cfRule>
    <cfRule type="expression" dxfId="238" priority="14">
      <formula>Q6="correct"</formula>
    </cfRule>
    <cfRule type="expression" dxfId="237" priority="15">
      <formula>Q6="incorrect"</formula>
    </cfRule>
  </conditionalFormatting>
  <conditionalFormatting sqref="E8">
    <cfRule type="expression" dxfId="236" priority="10">
      <formula>ISBLANK(E8)</formula>
    </cfRule>
    <cfRule type="expression" dxfId="235" priority="11">
      <formula>Q8="correct"</formula>
    </cfRule>
    <cfRule type="expression" dxfId="234" priority="12">
      <formula>Q8="incorrect"</formula>
    </cfRule>
  </conditionalFormatting>
  <conditionalFormatting sqref="E10">
    <cfRule type="expression" dxfId="233" priority="7">
      <formula>ISBLANK(E10)</formula>
    </cfRule>
    <cfRule type="expression" dxfId="232" priority="8">
      <formula>Q10="correct"</formula>
    </cfRule>
    <cfRule type="expression" dxfId="231" priority="9">
      <formula>Q10="incorrect"</formula>
    </cfRule>
  </conditionalFormatting>
  <conditionalFormatting sqref="E12">
    <cfRule type="expression" dxfId="230" priority="4">
      <formula>ISBLANK(E12)</formula>
    </cfRule>
    <cfRule type="expression" dxfId="229" priority="5">
      <formula>Q12="correct"</formula>
    </cfRule>
    <cfRule type="expression" dxfId="228" priority="6">
      <formula>Q12="incorrect"</formula>
    </cfRule>
  </conditionalFormatting>
  <conditionalFormatting sqref="E14">
    <cfRule type="expression" dxfId="227" priority="1">
      <formula>ISBLANK(E14)</formula>
    </cfRule>
    <cfRule type="expression" dxfId="226" priority="2">
      <formula>Q14="correct"</formula>
    </cfRule>
    <cfRule type="expression" dxfId="225" priority="3">
      <formula>Q14="incorrect"</formula>
    </cfRule>
  </conditionalFormatting>
  <hyperlinks>
    <hyperlink ref="AB1" location="'Powers of 10 Part 6'!A1" display="Next"/>
    <hyperlink ref="B1" location="'Powers of 10 Part 4'!A1" display="Previous"/>
  </hyperlinks>
  <pageMargins left="0.59055118110236227" right="0.59055118110236227" top="0.39370078740157483" bottom="0.39370078740157483" header="0.51181102362204722" footer="0.51181102362204722"/>
  <pageSetup paperSize="9" scale="64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78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26.5" style="42" customWidth="1"/>
    <col min="6" max="7" width="4.6640625" style="41" customWidth="1"/>
    <col min="8" max="12" width="4.6640625" style="40" customWidth="1"/>
    <col min="13" max="13" width="14.1640625" style="41" customWidth="1"/>
    <col min="14" max="14" width="13.1640625" style="40" hidden="1" customWidth="1"/>
    <col min="15" max="15" width="4.83203125" style="40" hidden="1" customWidth="1"/>
    <col min="16" max="16" width="3" style="41" hidden="1" customWidth="1"/>
    <col min="17" max="17" width="15.1640625" style="41" hidden="1" customWidth="1"/>
    <col min="18" max="18" width="3" style="41" hidden="1" customWidth="1"/>
    <col min="19" max="19" width="6.5" style="41" hidden="1" customWidth="1"/>
    <col min="20" max="23" width="4.6640625" style="41" hidden="1" customWidth="1"/>
    <col min="24" max="24" width="4.6640625" style="41" customWidth="1"/>
    <col min="25" max="25" width="11.5" style="40" customWidth="1"/>
    <col min="26" max="16384" width="11.5" style="1" hidden="1"/>
  </cols>
  <sheetData>
    <row r="1" spans="1:25" s="2" customFormat="1" ht="43" customHeight="1">
      <c r="A1" s="30"/>
      <c r="B1" s="70" t="s">
        <v>4</v>
      </c>
      <c r="C1" s="31"/>
      <c r="D1" s="32" t="str">
        <f ca="1">MID(CELL("filename",A1),FIND("]",CELL("filename",A1))+1,256)</f>
        <v>Powers of 10 Part 6</v>
      </c>
      <c r="E1" s="33"/>
      <c r="F1" s="34"/>
      <c r="G1" s="34"/>
      <c r="H1" s="35"/>
      <c r="I1" s="36"/>
      <c r="J1" s="36"/>
      <c r="K1" s="36"/>
      <c r="L1" s="30" t="s">
        <v>0</v>
      </c>
      <c r="M1" s="37">
        <f>(COUNTIF(N:N,"Correct")+COUNTIF(T:T,"Correct"))/(COUNTA(N:N)+COUNTA(T:T))</f>
        <v>0</v>
      </c>
      <c r="N1" s="68"/>
      <c r="O1" s="68"/>
      <c r="P1" s="69"/>
      <c r="Q1" s="69"/>
      <c r="R1" s="69"/>
      <c r="S1" s="69"/>
      <c r="T1" s="69"/>
      <c r="U1" s="69"/>
      <c r="V1" s="69"/>
      <c r="W1" s="69"/>
      <c r="X1" s="38"/>
      <c r="Y1" s="70" t="s">
        <v>3</v>
      </c>
    </row>
    <row r="2" spans="1:25" s="2" customFormat="1" ht="28" customHeight="1">
      <c r="A2" s="30"/>
      <c r="B2" s="43"/>
      <c r="C2" s="43" t="s">
        <v>22</v>
      </c>
      <c r="D2" s="36"/>
      <c r="E2" s="38"/>
      <c r="F2" s="38"/>
      <c r="G2" s="38"/>
      <c r="H2" s="36"/>
      <c r="I2" s="36"/>
      <c r="J2" s="36"/>
      <c r="K2" s="36"/>
      <c r="L2" s="36"/>
      <c r="M2" s="38"/>
      <c r="N2" s="68"/>
      <c r="O2" s="68"/>
      <c r="P2" s="69"/>
      <c r="Q2" s="69"/>
      <c r="R2" s="69"/>
      <c r="S2" s="69"/>
      <c r="T2" s="69"/>
      <c r="U2" s="69"/>
      <c r="V2" s="69"/>
      <c r="W2" s="69"/>
      <c r="X2" s="38"/>
      <c r="Y2" s="36"/>
    </row>
    <row r="3" spans="1:25" s="2" customFormat="1" ht="28" customHeight="1">
      <c r="A3" s="26"/>
      <c r="B3" s="29"/>
      <c r="C3" s="29"/>
      <c r="D3" s="27"/>
      <c r="E3" s="28"/>
      <c r="F3" s="28"/>
      <c r="G3" s="28"/>
      <c r="H3" s="27"/>
      <c r="I3" s="27"/>
      <c r="J3" s="27"/>
      <c r="K3" s="27"/>
      <c r="L3" s="27"/>
      <c r="M3" s="28"/>
      <c r="N3" s="27"/>
      <c r="O3" s="27"/>
      <c r="P3" s="28"/>
      <c r="Q3" s="28"/>
      <c r="R3" s="28"/>
      <c r="S3" s="28"/>
      <c r="T3" s="28"/>
      <c r="U3" s="28"/>
      <c r="V3" s="28"/>
      <c r="W3" s="28"/>
      <c r="X3" s="28"/>
      <c r="Y3" s="27"/>
    </row>
    <row r="4" spans="1:25" s="2" customFormat="1" ht="28" customHeight="1">
      <c r="A4" s="26"/>
      <c r="B4" s="52">
        <v>1</v>
      </c>
      <c r="C4" s="53" t="str">
        <f>R4&amp;" × "&amp;10&amp;P4</f>
        <v>5 × 10⁻⁴</v>
      </c>
      <c r="D4" s="45" t="s">
        <v>1</v>
      </c>
      <c r="E4" s="58"/>
      <c r="F4" s="28"/>
      <c r="G4" s="28"/>
      <c r="H4" s="27"/>
      <c r="I4" s="27"/>
      <c r="J4" s="27"/>
      <c r="K4" s="27"/>
      <c r="L4" s="27"/>
      <c r="M4" s="28"/>
      <c r="N4" s="50"/>
      <c r="O4" s="48">
        <v>4</v>
      </c>
      <c r="P4" s="49" t="str">
        <f>"⁻"&amp;IF(AND(O4&gt;9,O4&lt;100),INDEX(super,LEFT(O4,1)+1,1)&amp;INDEX(super,RIGHT(O4,1)+1,1),INDEX(super,O4+1,1))</f>
        <v>⁻⁴</v>
      </c>
      <c r="Q4" s="49">
        <v>10000</v>
      </c>
      <c r="R4" s="28">
        <v>5</v>
      </c>
      <c r="S4" s="28">
        <f>R4/Q4</f>
        <v>5.0000000000000001E-4</v>
      </c>
      <c r="T4" s="50" t="str">
        <f>IF(ISBLANK(E4),"",IF(E4=S4,"correct","incorrect"))</f>
        <v/>
      </c>
      <c r="U4" s="28"/>
      <c r="V4" s="28"/>
      <c r="W4" s="28"/>
      <c r="X4" s="28"/>
      <c r="Y4" s="27"/>
    </row>
    <row r="5" spans="1:25" s="2" customFormat="1" ht="28" customHeight="1">
      <c r="A5" s="26"/>
      <c r="B5" s="29"/>
      <c r="C5" s="29"/>
      <c r="D5" s="27"/>
      <c r="E5" s="28"/>
      <c r="F5" s="28"/>
      <c r="G5" s="28"/>
      <c r="H5" s="27"/>
      <c r="I5" s="27"/>
      <c r="J5" s="27"/>
      <c r="K5" s="27"/>
      <c r="L5" s="27"/>
      <c r="M5" s="28"/>
      <c r="N5" s="48"/>
      <c r="O5" s="48"/>
      <c r="P5" s="49"/>
      <c r="Q5" s="49"/>
      <c r="R5" s="28"/>
      <c r="S5" s="28"/>
      <c r="T5" s="28"/>
      <c r="U5" s="28"/>
      <c r="V5" s="28"/>
      <c r="W5" s="28"/>
      <c r="X5" s="28"/>
      <c r="Y5" s="27"/>
    </row>
    <row r="6" spans="1:25" s="2" customFormat="1" ht="28" customHeight="1">
      <c r="A6" s="26"/>
      <c r="B6" s="52">
        <f>B4+1</f>
        <v>2</v>
      </c>
      <c r="C6" s="53" t="str">
        <f>R6&amp;" × "&amp;10&amp;P6</f>
        <v>9 × 10⁻⁹</v>
      </c>
      <c r="D6" s="45" t="s">
        <v>1</v>
      </c>
      <c r="E6" s="58"/>
      <c r="F6" s="28"/>
      <c r="G6" s="28"/>
      <c r="H6" s="27"/>
      <c r="I6" s="27"/>
      <c r="J6" s="27"/>
      <c r="K6" s="27"/>
      <c r="L6" s="27"/>
      <c r="M6" s="28"/>
      <c r="N6" s="50"/>
      <c r="O6" s="48">
        <v>9</v>
      </c>
      <c r="P6" s="49" t="str">
        <f>"⁻"&amp;IF(AND(O6&gt;9,O6&lt;100),INDEX(super,LEFT(O6,1)+1,1)&amp;INDEX(super,RIGHT(O6,1)+1,1),INDEX(super,O6+1,1))</f>
        <v>⁻⁹</v>
      </c>
      <c r="Q6" s="49">
        <v>1000000000</v>
      </c>
      <c r="R6" s="28">
        <v>9</v>
      </c>
      <c r="S6" s="28">
        <f>R6/Q6</f>
        <v>8.9999999999999995E-9</v>
      </c>
      <c r="T6" s="50" t="str">
        <f>IF(ISBLANK(E6),"",IF(E6=S6,"correct","incorrect"))</f>
        <v/>
      </c>
      <c r="U6" s="28"/>
      <c r="V6" s="28"/>
      <c r="W6" s="28"/>
      <c r="X6" s="28"/>
      <c r="Y6" s="27"/>
    </row>
    <row r="7" spans="1:25" s="2" customFormat="1" ht="28" customHeight="1">
      <c r="A7" s="26"/>
      <c r="B7" s="29"/>
      <c r="C7" s="29"/>
      <c r="D7" s="27"/>
      <c r="E7" s="28"/>
      <c r="F7" s="28"/>
      <c r="G7" s="28"/>
      <c r="H7" s="27"/>
      <c r="I7" s="27"/>
      <c r="J7" s="27"/>
      <c r="K7" s="27"/>
      <c r="L7" s="27"/>
      <c r="M7" s="28"/>
      <c r="N7" s="48"/>
      <c r="O7" s="48"/>
      <c r="P7" s="49"/>
      <c r="Q7" s="49"/>
      <c r="R7" s="28"/>
      <c r="S7" s="28"/>
      <c r="T7" s="28"/>
      <c r="U7" s="28"/>
      <c r="V7" s="28"/>
      <c r="W7" s="28"/>
      <c r="X7" s="28"/>
      <c r="Y7" s="27"/>
    </row>
    <row r="8" spans="1:25" s="2" customFormat="1" ht="28" customHeight="1">
      <c r="A8" s="26"/>
      <c r="B8" s="52">
        <f>B6+1</f>
        <v>3</v>
      </c>
      <c r="C8" s="53" t="str">
        <f>R8&amp;" × "&amp;10&amp;P8</f>
        <v>3 × 10⁻⁵</v>
      </c>
      <c r="D8" s="45" t="s">
        <v>1</v>
      </c>
      <c r="E8" s="58"/>
      <c r="F8" s="28"/>
      <c r="G8" s="28"/>
      <c r="H8" s="27"/>
      <c r="I8" s="27"/>
      <c r="J8" s="27"/>
      <c r="K8" s="27"/>
      <c r="L8" s="27"/>
      <c r="M8" s="28"/>
      <c r="N8" s="50"/>
      <c r="O8" s="48">
        <v>5</v>
      </c>
      <c r="P8" s="49" t="str">
        <f>"⁻"&amp;IF(AND(O8&gt;9,O8&lt;100),INDEX(super,LEFT(O8,1)+1,1)&amp;INDEX(super,RIGHT(O8,1)+1,1),INDEX(super,O8+1,1))</f>
        <v>⁻⁵</v>
      </c>
      <c r="Q8" s="49">
        <v>100000</v>
      </c>
      <c r="R8" s="28">
        <v>3</v>
      </c>
      <c r="S8" s="28">
        <f>R8/Q8</f>
        <v>3.0000000000000001E-5</v>
      </c>
      <c r="T8" s="50" t="str">
        <f>IF(ISBLANK(E8),"",IF(E8=S8,"correct","incorrect"))</f>
        <v/>
      </c>
      <c r="U8" s="28"/>
      <c r="V8" s="28"/>
      <c r="W8" s="28"/>
      <c r="X8" s="28"/>
      <c r="Y8" s="27"/>
    </row>
    <row r="9" spans="1:25" s="2" customFormat="1" ht="28" customHeight="1">
      <c r="A9" s="26"/>
      <c r="B9" s="29"/>
      <c r="C9" s="29"/>
      <c r="D9" s="27"/>
      <c r="E9" s="28"/>
      <c r="F9" s="28"/>
      <c r="G9" s="28"/>
      <c r="H9" s="27"/>
      <c r="I9" s="27"/>
      <c r="J9" s="27"/>
      <c r="K9" s="27"/>
      <c r="L9" s="27"/>
      <c r="M9" s="28"/>
      <c r="N9" s="48"/>
      <c r="O9" s="48"/>
      <c r="P9" s="49"/>
      <c r="Q9" s="49"/>
      <c r="R9" s="28"/>
      <c r="S9" s="28"/>
      <c r="T9" s="28"/>
      <c r="U9" s="28"/>
      <c r="V9" s="28"/>
      <c r="W9" s="28"/>
      <c r="X9" s="28"/>
      <c r="Y9" s="27"/>
    </row>
    <row r="10" spans="1:25" s="2" customFormat="1" ht="28" customHeight="1">
      <c r="A10" s="26"/>
      <c r="B10" s="52">
        <f>B8+1</f>
        <v>4</v>
      </c>
      <c r="C10" s="53" t="str">
        <f>R10&amp;" × "&amp;10&amp;P10</f>
        <v>4 × 10⁻³</v>
      </c>
      <c r="D10" s="45" t="s">
        <v>1</v>
      </c>
      <c r="E10" s="58"/>
      <c r="F10" s="28"/>
      <c r="G10" s="28"/>
      <c r="H10" s="27"/>
      <c r="I10" s="27"/>
      <c r="J10" s="27"/>
      <c r="K10" s="27"/>
      <c r="L10" s="27"/>
      <c r="M10" s="28"/>
      <c r="N10" s="50"/>
      <c r="O10" s="48">
        <v>3</v>
      </c>
      <c r="P10" s="49" t="str">
        <f>"⁻"&amp;IF(AND(O10&gt;9,O10&lt;100),INDEX(super,LEFT(O10,1)+1,1)&amp;INDEX(super,RIGHT(O10,1)+1,1),INDEX(super,O10+1,1))</f>
        <v>⁻³</v>
      </c>
      <c r="Q10" s="49">
        <v>1000</v>
      </c>
      <c r="R10" s="28">
        <v>4</v>
      </c>
      <c r="S10" s="28">
        <f>R10/Q10</f>
        <v>4.0000000000000001E-3</v>
      </c>
      <c r="T10" s="50" t="str">
        <f>IF(ISBLANK(E10),"",IF(E10=S10,"correct","incorrect"))</f>
        <v/>
      </c>
      <c r="U10" s="28"/>
      <c r="V10" s="28"/>
      <c r="W10" s="28"/>
      <c r="X10" s="28"/>
      <c r="Y10" s="27"/>
    </row>
    <row r="11" spans="1:25" s="2" customFormat="1" ht="28" customHeight="1">
      <c r="A11" s="26"/>
      <c r="B11" s="29"/>
      <c r="C11" s="29"/>
      <c r="D11" s="27"/>
      <c r="E11" s="28"/>
      <c r="F11" s="28"/>
      <c r="G11" s="28"/>
      <c r="H11" s="27"/>
      <c r="I11" s="27"/>
      <c r="J11" s="27"/>
      <c r="K11" s="27"/>
      <c r="L11" s="27"/>
      <c r="M11" s="28"/>
      <c r="N11" s="48"/>
      <c r="O11" s="48"/>
      <c r="P11" s="49"/>
      <c r="Q11" s="49"/>
      <c r="R11" s="28"/>
      <c r="S11" s="28"/>
      <c r="T11" s="28"/>
      <c r="U11" s="28"/>
      <c r="V11" s="28"/>
      <c r="W11" s="28"/>
      <c r="X11" s="28"/>
      <c r="Y11" s="27"/>
    </row>
    <row r="12" spans="1:25" s="2" customFormat="1" ht="28" customHeight="1">
      <c r="A12" s="26"/>
      <c r="B12" s="52">
        <f>B10+1</f>
        <v>5</v>
      </c>
      <c r="C12" s="53" t="str">
        <f>R12&amp;" × "&amp;10&amp;P12</f>
        <v>2 × 10⁻¹</v>
      </c>
      <c r="D12" s="45" t="s">
        <v>1</v>
      </c>
      <c r="E12" s="58"/>
      <c r="F12" s="28"/>
      <c r="G12" s="28"/>
      <c r="H12" s="27"/>
      <c r="I12" s="27"/>
      <c r="J12" s="27"/>
      <c r="K12" s="27"/>
      <c r="L12" s="27"/>
      <c r="M12" s="28"/>
      <c r="N12" s="50"/>
      <c r="O12" s="48">
        <v>1</v>
      </c>
      <c r="P12" s="49" t="str">
        <f>"⁻"&amp;IF(AND(O12&gt;9,O12&lt;100),INDEX(super,LEFT(O12,1)+1,1)&amp;INDEX(super,RIGHT(O12,1)+1,1),INDEX(super,O12+1,1))</f>
        <v>⁻¹</v>
      </c>
      <c r="Q12" s="49">
        <v>10</v>
      </c>
      <c r="R12" s="28">
        <v>2</v>
      </c>
      <c r="S12" s="28">
        <f>R12/Q12</f>
        <v>0.2</v>
      </c>
      <c r="T12" s="50" t="str">
        <f>IF(ISBLANK(E12),"",IF(E12=S12,"correct","incorrect"))</f>
        <v/>
      </c>
      <c r="U12" s="28"/>
      <c r="V12" s="28"/>
      <c r="W12" s="28"/>
      <c r="X12" s="28"/>
      <c r="Y12" s="27"/>
    </row>
    <row r="13" spans="1:25" s="2" customFormat="1" ht="28" customHeight="1">
      <c r="A13" s="26"/>
      <c r="B13" s="29"/>
      <c r="C13" s="29"/>
      <c r="D13" s="27"/>
      <c r="E13" s="28"/>
      <c r="F13" s="28"/>
      <c r="G13" s="28"/>
      <c r="H13" s="27"/>
      <c r="I13" s="27"/>
      <c r="J13" s="27"/>
      <c r="K13" s="27"/>
      <c r="L13" s="27"/>
      <c r="M13" s="28"/>
      <c r="N13" s="48"/>
      <c r="O13" s="48"/>
      <c r="P13" s="49"/>
      <c r="Q13" s="49"/>
      <c r="R13" s="28"/>
      <c r="S13" s="28"/>
      <c r="T13" s="28"/>
      <c r="U13" s="28"/>
      <c r="V13" s="28"/>
      <c r="W13" s="28"/>
      <c r="X13" s="28"/>
      <c r="Y13" s="27"/>
    </row>
    <row r="14" spans="1:25" s="2" customFormat="1" ht="28" customHeight="1">
      <c r="A14" s="26"/>
      <c r="B14" s="52">
        <f>B12+1</f>
        <v>6</v>
      </c>
      <c r="C14" s="53" t="str">
        <f>R14&amp;" × "&amp;10&amp;P14</f>
        <v>1 × 10⁻¹</v>
      </c>
      <c r="D14" s="45" t="s">
        <v>1</v>
      </c>
      <c r="E14" s="58"/>
      <c r="F14" s="28"/>
      <c r="G14" s="28"/>
      <c r="H14" s="27"/>
      <c r="I14" s="27"/>
      <c r="J14" s="27"/>
      <c r="K14" s="27"/>
      <c r="L14" s="27"/>
      <c r="M14" s="28"/>
      <c r="N14" s="50"/>
      <c r="O14" s="48">
        <v>1</v>
      </c>
      <c r="P14" s="49" t="str">
        <f>"⁻"&amp;IF(AND(O14&gt;9,O14&lt;100),INDEX(super,LEFT(O14,1)+1,1)&amp;INDEX(super,RIGHT(O14,1)+1,1),INDEX(super,O14+1,1))</f>
        <v>⁻¹</v>
      </c>
      <c r="Q14" s="49">
        <v>10</v>
      </c>
      <c r="R14" s="28">
        <v>1</v>
      </c>
      <c r="S14" s="28">
        <f>R14/Q14</f>
        <v>0.1</v>
      </c>
      <c r="T14" s="50" t="str">
        <f>IF(ISBLANK(E14),"",IF(E14=S14,"correct","incorrect"))</f>
        <v/>
      </c>
      <c r="U14" s="28"/>
      <c r="V14" s="28"/>
      <c r="W14" s="28"/>
      <c r="X14" s="28"/>
      <c r="Y14" s="27"/>
    </row>
    <row r="15" spans="1:25" s="2" customFormat="1" ht="28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spans="1:25" s="2" customFormat="1" ht="28" customHeight="1">
      <c r="A16" s="26"/>
      <c r="B16" s="29"/>
      <c r="C16" s="29"/>
      <c r="D16" s="27"/>
      <c r="E16" s="28"/>
      <c r="F16" s="28"/>
      <c r="G16" s="28"/>
      <c r="H16" s="27"/>
      <c r="I16" s="27"/>
      <c r="J16" s="27"/>
      <c r="K16" s="27"/>
      <c r="L16" s="27"/>
      <c r="M16" s="28"/>
      <c r="N16" s="27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7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</sheetData>
  <sheetProtection sheet="1" objects="1" scenarios="1" selectLockedCells="1"/>
  <phoneticPr fontId="54" type="noConversion"/>
  <conditionalFormatting sqref="M1">
    <cfRule type="cellIs" dxfId="224" priority="52" stopIfTrue="1" operator="lessThan">
      <formula>1</formula>
    </cfRule>
    <cfRule type="cellIs" dxfId="223" priority="53" stopIfTrue="1" operator="equal">
      <formula>1</formula>
    </cfRule>
  </conditionalFormatting>
  <conditionalFormatting sqref="E4">
    <cfRule type="expression" dxfId="222" priority="31">
      <formula>ISBLANK(E4)</formula>
    </cfRule>
    <cfRule type="expression" dxfId="221" priority="32">
      <formula>T4="correct"</formula>
    </cfRule>
    <cfRule type="expression" dxfId="220" priority="33">
      <formula>T4="incorrect"</formula>
    </cfRule>
  </conditionalFormatting>
  <conditionalFormatting sqref="E6">
    <cfRule type="expression" dxfId="219" priority="13">
      <formula>ISBLANK(E6)</formula>
    </cfRule>
    <cfRule type="expression" dxfId="218" priority="14">
      <formula>T6="correct"</formula>
    </cfRule>
    <cfRule type="expression" dxfId="217" priority="15">
      <formula>T6="incorrect"</formula>
    </cfRule>
  </conditionalFormatting>
  <conditionalFormatting sqref="E8">
    <cfRule type="expression" dxfId="216" priority="10">
      <formula>ISBLANK(E8)</formula>
    </cfRule>
    <cfRule type="expression" dxfId="215" priority="11">
      <formula>T8="correct"</formula>
    </cfRule>
    <cfRule type="expression" dxfId="214" priority="12">
      <formula>T8="incorrect"</formula>
    </cfRule>
  </conditionalFormatting>
  <conditionalFormatting sqref="E10">
    <cfRule type="expression" dxfId="213" priority="7">
      <formula>ISBLANK(E10)</formula>
    </cfRule>
    <cfRule type="expression" dxfId="212" priority="8">
      <formula>T10="correct"</formula>
    </cfRule>
    <cfRule type="expression" dxfId="211" priority="9">
      <formula>T10="incorrect"</formula>
    </cfRule>
  </conditionalFormatting>
  <conditionalFormatting sqref="E12">
    <cfRule type="expression" dxfId="210" priority="4">
      <formula>ISBLANK(E12)</formula>
    </cfRule>
    <cfRule type="expression" dxfId="209" priority="5">
      <formula>T12="correct"</formula>
    </cfRule>
    <cfRule type="expression" dxfId="208" priority="6">
      <formula>T12="incorrect"</formula>
    </cfRule>
  </conditionalFormatting>
  <conditionalFormatting sqref="E14">
    <cfRule type="expression" dxfId="207" priority="1">
      <formula>ISBLANK(E14)</formula>
    </cfRule>
    <cfRule type="expression" dxfId="206" priority="2">
      <formula>T14="correct"</formula>
    </cfRule>
    <cfRule type="expression" dxfId="205" priority="3">
      <formula>T14="incorrect"</formula>
    </cfRule>
  </conditionalFormatting>
  <hyperlinks>
    <hyperlink ref="Y1" location="'Scientific Notation Part 1'!A1" display="Next"/>
    <hyperlink ref="B1" location="'Powers of 10 Part 5'!A1" display="Previous"/>
  </hyperlinks>
  <pageMargins left="0.59055118110236227" right="0.59055118110236227" top="0.39370078740157483" bottom="0.39370078740157483" header="0.51181102362204722" footer="0.51181102362204722"/>
  <pageSetup paperSize="9" scale="63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87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18.6640625" style="42" customWidth="1"/>
    <col min="6" max="6" width="4.6640625" style="42" customWidth="1"/>
    <col min="7" max="7" width="5.6640625" style="42" customWidth="1"/>
    <col min="8" max="8" width="4.6640625" style="65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13" style="41" hidden="1" customWidth="1"/>
    <col min="22" max="22" width="15.1640625" style="41" hidden="1" customWidth="1"/>
    <col min="23" max="24" width="4.6640625" style="41" hidden="1" customWidth="1"/>
    <col min="25" max="25" width="9.83203125" style="41" hidden="1" customWidth="1"/>
    <col min="26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79"/>
      <c r="D1" s="32" t="str">
        <f ca="1">MID(CELL("filename",A1),FIND("]",CELL("filename",A1))+1,256)</f>
        <v>Scientific Notation Part 1</v>
      </c>
      <c r="E1" s="33"/>
      <c r="F1" s="33"/>
      <c r="G1" s="33"/>
      <c r="H1" s="61"/>
      <c r="I1" s="34"/>
      <c r="J1" s="34"/>
      <c r="K1" s="35"/>
      <c r="L1" s="36"/>
      <c r="M1" s="36"/>
      <c r="N1" s="36"/>
      <c r="O1" s="30" t="s">
        <v>0</v>
      </c>
      <c r="P1" s="37">
        <f>(COUNTIF(Q1:Q26,"Correct")+COUNTIF(Z1:Z26,"Correct"))/(COUNTA(Q1:Q26)+COUNTA(Z1:Z26))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24</v>
      </c>
      <c r="D2" s="36"/>
      <c r="E2" s="38"/>
      <c r="F2" s="38"/>
      <c r="G2" s="38"/>
      <c r="H2" s="62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47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f>B2+1</f>
        <v>1</v>
      </c>
      <c r="C4" s="59">
        <f>V4</f>
        <v>1720000</v>
      </c>
      <c r="D4" s="45" t="s">
        <v>1</v>
      </c>
      <c r="E4" s="60"/>
      <c r="F4" s="55" t="s">
        <v>21</v>
      </c>
      <c r="G4" s="55">
        <v>10</v>
      </c>
      <c r="H4" s="76">
        <v>6</v>
      </c>
      <c r="I4" s="28"/>
      <c r="J4" s="28"/>
      <c r="K4" s="27"/>
      <c r="L4" s="27"/>
      <c r="M4" s="27"/>
      <c r="N4" s="27"/>
      <c r="O4" s="27"/>
      <c r="P4" s="28"/>
      <c r="Q4" s="50"/>
      <c r="R4" s="48">
        <v>6</v>
      </c>
      <c r="S4" s="49" t="s">
        <v>13</v>
      </c>
      <c r="T4" s="49">
        <v>1000000</v>
      </c>
      <c r="U4" s="28">
        <v>172</v>
      </c>
      <c r="V4" s="28">
        <v>1720000</v>
      </c>
      <c r="W4" s="28"/>
      <c r="X4" s="28">
        <v>3</v>
      </c>
      <c r="Y4" s="28">
        <v>1.72</v>
      </c>
      <c r="Z4" s="50" t="str">
        <f>IF(ISBLANK(E4),"",IF(E4=Y4,"correct","incorrect"))</f>
        <v/>
      </c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47"/>
      <c r="I5" s="28"/>
      <c r="J5" s="28"/>
      <c r="K5" s="27"/>
      <c r="L5" s="27"/>
      <c r="M5" s="27"/>
      <c r="N5" s="27"/>
      <c r="O5" s="27"/>
      <c r="P5" s="28"/>
      <c r="Q5" s="27"/>
      <c r="R5" s="27"/>
      <c r="S5" s="28"/>
      <c r="T5" s="28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59">
        <f>V6</f>
        <v>68000</v>
      </c>
      <c r="D6" s="45" t="s">
        <v>1</v>
      </c>
      <c r="E6" s="60"/>
      <c r="F6" s="55" t="s">
        <v>21</v>
      </c>
      <c r="G6" s="55">
        <v>10</v>
      </c>
      <c r="H6" s="76">
        <v>4</v>
      </c>
      <c r="I6" s="28"/>
      <c r="J6" s="28"/>
      <c r="K6" s="27"/>
      <c r="L6" s="27"/>
      <c r="M6" s="27"/>
      <c r="N6" s="27"/>
      <c r="O6" s="27"/>
      <c r="P6" s="28"/>
      <c r="Q6" s="50"/>
      <c r="R6" s="48">
        <v>4</v>
      </c>
      <c r="S6" s="49" t="s">
        <v>15</v>
      </c>
      <c r="T6" s="49">
        <v>10000</v>
      </c>
      <c r="U6" s="28">
        <v>68</v>
      </c>
      <c r="V6" s="28">
        <v>68000</v>
      </c>
      <c r="W6" s="28"/>
      <c r="X6" s="28">
        <v>2</v>
      </c>
      <c r="Y6" s="28">
        <v>6.8</v>
      </c>
      <c r="Z6" s="50" t="str">
        <f>IF(ISBLANK(E6),"",IF(E6=Y6,"correct","incorrect"))</f>
        <v/>
      </c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47"/>
      <c r="I7" s="28"/>
      <c r="J7" s="28"/>
      <c r="K7" s="27"/>
      <c r="L7" s="27"/>
      <c r="M7" s="27"/>
      <c r="N7" s="27"/>
      <c r="O7" s="27"/>
      <c r="P7" s="28"/>
      <c r="Q7" s="27"/>
      <c r="R7" s="27"/>
      <c r="S7" s="28"/>
      <c r="T7" s="28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59">
        <f>V8</f>
        <v>8580</v>
      </c>
      <c r="D8" s="45" t="s">
        <v>1</v>
      </c>
      <c r="E8" s="77">
        <v>8.58</v>
      </c>
      <c r="F8" s="55" t="s">
        <v>21</v>
      </c>
      <c r="G8" s="55">
        <v>10</v>
      </c>
      <c r="H8" s="54"/>
      <c r="I8" s="28"/>
      <c r="J8" s="28"/>
      <c r="K8" s="27"/>
      <c r="L8" s="27"/>
      <c r="M8" s="27"/>
      <c r="N8" s="27"/>
      <c r="O8" s="27"/>
      <c r="P8" s="28"/>
      <c r="Q8" s="50" t="str">
        <f>IF(ISBLANK(H8),"",IF(H8=R8,"correct","incorrect"))</f>
        <v/>
      </c>
      <c r="R8" s="48">
        <v>3</v>
      </c>
      <c r="S8" s="49" t="s">
        <v>16</v>
      </c>
      <c r="T8" s="49">
        <v>1000</v>
      </c>
      <c r="U8" s="28">
        <v>858</v>
      </c>
      <c r="V8" s="28">
        <v>8580</v>
      </c>
      <c r="W8" s="28"/>
      <c r="X8" s="28">
        <v>3</v>
      </c>
      <c r="Y8" s="28">
        <v>8.58</v>
      </c>
      <c r="Z8" s="50"/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47"/>
      <c r="I9" s="28"/>
      <c r="J9" s="28"/>
      <c r="K9" s="27"/>
      <c r="L9" s="27"/>
      <c r="M9" s="27"/>
      <c r="N9" s="27"/>
      <c r="O9" s="27"/>
      <c r="P9" s="28"/>
      <c r="Q9" s="27"/>
      <c r="R9" s="27"/>
      <c r="S9" s="28"/>
      <c r="T9" s="28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59">
        <f>V10</f>
        <v>660000</v>
      </c>
      <c r="D10" s="45" t="s">
        <v>1</v>
      </c>
      <c r="E10" s="77">
        <v>6.6</v>
      </c>
      <c r="F10" s="55" t="s">
        <v>21</v>
      </c>
      <c r="G10" s="55">
        <v>10</v>
      </c>
      <c r="H10" s="54"/>
      <c r="I10" s="28"/>
      <c r="J10" s="28"/>
      <c r="K10" s="27"/>
      <c r="L10" s="27"/>
      <c r="M10" s="27"/>
      <c r="N10" s="27"/>
      <c r="O10" s="27"/>
      <c r="P10" s="28"/>
      <c r="Q10" s="50" t="str">
        <f>IF(ISBLANK(H10),"",IF(H10=R10,"correct","incorrect"))</f>
        <v/>
      </c>
      <c r="R10" s="48">
        <v>5</v>
      </c>
      <c r="S10" s="49" t="s">
        <v>14</v>
      </c>
      <c r="T10" s="49">
        <v>100000</v>
      </c>
      <c r="U10" s="28">
        <v>66</v>
      </c>
      <c r="V10" s="28">
        <v>660000</v>
      </c>
      <c r="W10" s="28"/>
      <c r="X10" s="28">
        <v>2</v>
      </c>
      <c r="Y10" s="28">
        <v>6.6</v>
      </c>
      <c r="Z10" s="50"/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47"/>
      <c r="I11" s="28"/>
      <c r="J11" s="28"/>
      <c r="K11" s="27"/>
      <c r="L11" s="27"/>
      <c r="M11" s="27"/>
      <c r="N11" s="27"/>
      <c r="O11" s="27"/>
      <c r="P11" s="28"/>
      <c r="Q11" s="27"/>
      <c r="R11" s="27"/>
      <c r="S11" s="28"/>
      <c r="T11" s="28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59">
        <f>V12</f>
        <v>9700</v>
      </c>
      <c r="D12" s="45" t="s">
        <v>1</v>
      </c>
      <c r="E12" s="60"/>
      <c r="F12" s="55" t="s">
        <v>21</v>
      </c>
      <c r="G12" s="55">
        <v>10</v>
      </c>
      <c r="H12" s="54"/>
      <c r="I12" s="28"/>
      <c r="J12" s="28"/>
      <c r="K12" s="27"/>
      <c r="L12" s="27"/>
      <c r="M12" s="27"/>
      <c r="N12" s="27"/>
      <c r="O12" s="27"/>
      <c r="P12" s="28"/>
      <c r="Q12" s="50" t="str">
        <f>IF(ISBLANK(H12),"",IF(H12=R12,"correct","incorrect"))</f>
        <v/>
      </c>
      <c r="R12" s="48">
        <v>3</v>
      </c>
      <c r="S12" s="49" t="s">
        <v>16</v>
      </c>
      <c r="T12" s="49">
        <v>1000</v>
      </c>
      <c r="U12" s="28">
        <v>97</v>
      </c>
      <c r="V12" s="28">
        <v>9700</v>
      </c>
      <c r="W12" s="28"/>
      <c r="X12" s="28">
        <v>2</v>
      </c>
      <c r="Y12" s="28">
        <v>9.6999999999999993</v>
      </c>
      <c r="Z12" s="50" t="str">
        <f>IF(ISBLANK(E12),"",IF(E12=Y12,"correct","incorrect"))</f>
        <v/>
      </c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47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59">
        <f>V14</f>
        <v>194300</v>
      </c>
      <c r="D14" s="45" t="s">
        <v>1</v>
      </c>
      <c r="E14" s="60"/>
      <c r="F14" s="55" t="s">
        <v>21</v>
      </c>
      <c r="G14" s="55">
        <v>10</v>
      </c>
      <c r="H14" s="54"/>
      <c r="I14" s="28"/>
      <c r="J14" s="28"/>
      <c r="K14" s="27"/>
      <c r="L14" s="27"/>
      <c r="M14" s="27"/>
      <c r="N14" s="27"/>
      <c r="O14" s="27"/>
      <c r="P14" s="28"/>
      <c r="Q14" s="50" t="str">
        <f>IF(ISBLANK(H14),"",IF(H14=R14,"correct","incorrect"))</f>
        <v/>
      </c>
      <c r="R14" s="48">
        <v>5</v>
      </c>
      <c r="S14" s="49" t="s">
        <v>14</v>
      </c>
      <c r="T14" s="49">
        <v>100000</v>
      </c>
      <c r="U14" s="28">
        <v>1943</v>
      </c>
      <c r="V14" s="28">
        <v>194300</v>
      </c>
      <c r="W14" s="28"/>
      <c r="X14" s="28">
        <v>4</v>
      </c>
      <c r="Y14" s="28">
        <v>1.9430000000000001</v>
      </c>
      <c r="Z14" s="50" t="str">
        <f>IF(ISBLANK(E14),"",IF(E14=Y14,"correct","incorrect"))</f>
        <v/>
      </c>
      <c r="AA14" s="28"/>
      <c r="AB14" s="27"/>
    </row>
    <row r="15" spans="1:28" s="2" customFormat="1" ht="28" customHeight="1">
      <c r="A15" s="26"/>
      <c r="B15" s="29"/>
      <c r="C15" s="29"/>
      <c r="D15" s="27"/>
      <c r="E15" s="28"/>
      <c r="F15" s="28"/>
      <c r="G15" s="28"/>
      <c r="H15" s="47"/>
      <c r="I15" s="28"/>
      <c r="J15" s="28"/>
      <c r="K15" s="27"/>
      <c r="L15" s="27"/>
      <c r="M15" s="27"/>
      <c r="N15" s="27"/>
      <c r="O15" s="27"/>
      <c r="P15" s="28"/>
      <c r="Q15" s="48"/>
      <c r="R15" s="48"/>
      <c r="S15" s="49"/>
      <c r="T15" s="49"/>
      <c r="U15" s="28"/>
      <c r="V15" s="28"/>
      <c r="W15" s="28"/>
      <c r="X15" s="28"/>
      <c r="Y15" s="28"/>
      <c r="Z15" s="28"/>
      <c r="AA15" s="28"/>
      <c r="AB15" s="27"/>
    </row>
    <row r="16" spans="1:28" s="2" customFormat="1" ht="28" customHeight="1">
      <c r="A16" s="26"/>
      <c r="B16" s="52">
        <f>B14+1</f>
        <v>7</v>
      </c>
      <c r="C16" s="59">
        <f>V16</f>
        <v>6103000</v>
      </c>
      <c r="D16" s="45" t="s">
        <v>1</v>
      </c>
      <c r="E16" s="60"/>
      <c r="F16" s="55" t="s">
        <v>21</v>
      </c>
      <c r="G16" s="55">
        <v>10</v>
      </c>
      <c r="H16" s="54"/>
      <c r="I16" s="28"/>
      <c r="J16" s="28"/>
      <c r="K16" s="27"/>
      <c r="L16" s="27"/>
      <c r="M16" s="27"/>
      <c r="N16" s="27"/>
      <c r="O16" s="27"/>
      <c r="P16" s="28"/>
      <c r="Q16" s="50" t="str">
        <f>IF(ISBLANK(H16),"",IF(H16=R16,"correct","incorrect"))</f>
        <v/>
      </c>
      <c r="R16" s="48">
        <v>6</v>
      </c>
      <c r="S16" s="49" t="s">
        <v>13</v>
      </c>
      <c r="T16" s="49">
        <v>1000000</v>
      </c>
      <c r="U16" s="28">
        <v>6103</v>
      </c>
      <c r="V16" s="28">
        <v>6103000</v>
      </c>
      <c r="W16" s="28"/>
      <c r="X16" s="28">
        <v>4</v>
      </c>
      <c r="Y16" s="28">
        <v>6.1029999999999998</v>
      </c>
      <c r="Z16" s="50" t="str">
        <f>IF(ISBLANK(E16),"",IF(E16=Y16,"correct","incorrect"))</f>
        <v/>
      </c>
      <c r="AA16" s="28"/>
      <c r="AB16" s="27"/>
    </row>
    <row r="17" spans="1:28" s="2" customFormat="1" ht="28" customHeight="1">
      <c r="A17" s="26"/>
      <c r="B17" s="29"/>
      <c r="C17" s="29"/>
      <c r="D17" s="27"/>
      <c r="E17" s="28"/>
      <c r="F17" s="28"/>
      <c r="G17" s="28"/>
      <c r="H17" s="47"/>
      <c r="I17" s="28"/>
      <c r="J17" s="28"/>
      <c r="K17" s="27"/>
      <c r="L17" s="27"/>
      <c r="M17" s="27"/>
      <c r="N17" s="27"/>
      <c r="O17" s="27"/>
      <c r="P17" s="28"/>
      <c r="Q17" s="48"/>
      <c r="R17" s="48"/>
      <c r="S17" s="49"/>
      <c r="T17" s="49"/>
      <c r="U17" s="28"/>
      <c r="V17" s="28"/>
      <c r="W17" s="28"/>
      <c r="X17" s="28"/>
      <c r="Y17" s="28"/>
      <c r="Z17" s="28"/>
      <c r="AA17" s="28"/>
      <c r="AB17" s="27"/>
    </row>
    <row r="18" spans="1:28" s="2" customFormat="1" ht="28" customHeight="1">
      <c r="A18" s="26"/>
      <c r="B18" s="52">
        <f>B16+1</f>
        <v>8</v>
      </c>
      <c r="C18" s="59">
        <f>V18</f>
        <v>13000</v>
      </c>
      <c r="D18" s="45" t="s">
        <v>1</v>
      </c>
      <c r="E18" s="60"/>
      <c r="F18" s="55" t="s">
        <v>21</v>
      </c>
      <c r="G18" s="55">
        <v>10</v>
      </c>
      <c r="H18" s="54"/>
      <c r="I18" s="28"/>
      <c r="J18" s="28"/>
      <c r="K18" s="27"/>
      <c r="L18" s="27"/>
      <c r="M18" s="27"/>
      <c r="N18" s="27"/>
      <c r="O18" s="27"/>
      <c r="P18" s="28"/>
      <c r="Q18" s="50" t="str">
        <f>IF(ISBLANK(H18),"",IF(H18=R18,"correct","incorrect"))</f>
        <v/>
      </c>
      <c r="R18" s="48">
        <v>4</v>
      </c>
      <c r="S18" s="49" t="s">
        <v>15</v>
      </c>
      <c r="T18" s="49">
        <v>10000</v>
      </c>
      <c r="U18" s="28">
        <v>13</v>
      </c>
      <c r="V18" s="28">
        <v>13000</v>
      </c>
      <c r="W18" s="28"/>
      <c r="X18" s="28">
        <v>2</v>
      </c>
      <c r="Y18" s="28">
        <v>1.3</v>
      </c>
      <c r="Z18" s="50" t="str">
        <f>IF(ISBLANK(E18),"",IF(E18=Y18,"correct","incorrect"))</f>
        <v/>
      </c>
      <c r="AA18" s="28"/>
      <c r="AB18" s="27"/>
    </row>
    <row r="19" spans="1:28" s="2" customFormat="1" ht="28" customHeight="1">
      <c r="A19" s="26"/>
      <c r="B19" s="29"/>
      <c r="C19" s="29"/>
      <c r="D19" s="27"/>
      <c r="E19" s="28"/>
      <c r="F19" s="28"/>
      <c r="G19" s="28"/>
      <c r="H19" s="47"/>
      <c r="I19" s="28"/>
      <c r="J19" s="28"/>
      <c r="K19" s="27"/>
      <c r="L19" s="27"/>
      <c r="M19" s="27"/>
      <c r="N19" s="27"/>
      <c r="O19" s="27"/>
      <c r="P19" s="28"/>
      <c r="Q19" s="48"/>
      <c r="R19" s="48"/>
      <c r="S19" s="49"/>
      <c r="T19" s="49"/>
      <c r="U19" s="28"/>
      <c r="V19" s="28"/>
      <c r="W19" s="28"/>
      <c r="X19" s="28"/>
      <c r="Y19" s="28"/>
      <c r="Z19" s="28"/>
      <c r="AA19" s="28"/>
      <c r="AB19" s="27"/>
    </row>
    <row r="20" spans="1:28" s="2" customFormat="1" ht="28" customHeight="1">
      <c r="A20" s="26"/>
      <c r="B20" s="52">
        <f>B18+1</f>
        <v>9</v>
      </c>
      <c r="C20" s="59">
        <f>V20</f>
        <v>5090</v>
      </c>
      <c r="D20" s="45" t="s">
        <v>1</v>
      </c>
      <c r="E20" s="60"/>
      <c r="F20" s="55" t="s">
        <v>21</v>
      </c>
      <c r="G20" s="55">
        <v>10</v>
      </c>
      <c r="H20" s="54"/>
      <c r="I20" s="28"/>
      <c r="J20" s="28"/>
      <c r="K20" s="27"/>
      <c r="L20" s="27"/>
      <c r="M20" s="27"/>
      <c r="N20" s="27"/>
      <c r="O20" s="27"/>
      <c r="P20" s="28"/>
      <c r="Q20" s="50" t="str">
        <f>IF(ISBLANK(H20),"",IF(H20=R20,"correct","incorrect"))</f>
        <v/>
      </c>
      <c r="R20" s="48">
        <v>3</v>
      </c>
      <c r="S20" s="49" t="s">
        <v>16</v>
      </c>
      <c r="T20" s="49">
        <v>1000</v>
      </c>
      <c r="U20" s="28">
        <v>509</v>
      </c>
      <c r="V20" s="28">
        <v>5090</v>
      </c>
      <c r="W20" s="28"/>
      <c r="X20" s="28">
        <v>3</v>
      </c>
      <c r="Y20" s="28">
        <v>5.09</v>
      </c>
      <c r="Z20" s="50" t="str">
        <f>IF(ISBLANK(E20),"",IF(E20=Y20,"correct","incorrect"))</f>
        <v/>
      </c>
      <c r="AA20" s="28"/>
      <c r="AB20" s="27"/>
    </row>
    <row r="21" spans="1:28" s="2" customFormat="1" ht="28" customHeight="1">
      <c r="A21" s="26"/>
      <c r="B21" s="29"/>
      <c r="C21" s="29"/>
      <c r="D21" s="27"/>
      <c r="E21" s="28"/>
      <c r="F21" s="28"/>
      <c r="G21" s="28"/>
      <c r="H21" s="47"/>
      <c r="I21" s="28"/>
      <c r="J21" s="28"/>
      <c r="K21" s="27"/>
      <c r="L21" s="27"/>
      <c r="M21" s="27"/>
      <c r="N21" s="27"/>
      <c r="O21" s="27"/>
      <c r="P21" s="28"/>
      <c r="Q21" s="48"/>
      <c r="R21" s="48"/>
      <c r="S21" s="49"/>
      <c r="T21" s="49"/>
      <c r="U21" s="28"/>
      <c r="V21" s="28"/>
      <c r="W21" s="28"/>
      <c r="X21" s="28"/>
      <c r="Y21" s="28"/>
      <c r="Z21" s="28"/>
      <c r="AA21" s="28"/>
      <c r="AB21" s="27"/>
    </row>
    <row r="22" spans="1:28" s="2" customFormat="1" ht="28" customHeight="1">
      <c r="A22" s="26"/>
      <c r="B22" s="52">
        <f>B20+1</f>
        <v>10</v>
      </c>
      <c r="C22" s="59">
        <f>V22</f>
        <v>3360000</v>
      </c>
      <c r="D22" s="45" t="s">
        <v>1</v>
      </c>
      <c r="E22" s="60"/>
      <c r="F22" s="55" t="s">
        <v>21</v>
      </c>
      <c r="G22" s="55">
        <v>10</v>
      </c>
      <c r="H22" s="54"/>
      <c r="I22" s="28"/>
      <c r="J22" s="28"/>
      <c r="K22" s="27"/>
      <c r="L22" s="27"/>
      <c r="M22" s="27"/>
      <c r="N22" s="27"/>
      <c r="O22" s="27"/>
      <c r="P22" s="28"/>
      <c r="Q22" s="50" t="str">
        <f>IF(ISBLANK(H22),"",IF(H22=R22,"correct","incorrect"))</f>
        <v/>
      </c>
      <c r="R22" s="48">
        <v>6</v>
      </c>
      <c r="S22" s="49" t="s">
        <v>13</v>
      </c>
      <c r="T22" s="49">
        <v>1000000</v>
      </c>
      <c r="U22" s="28">
        <v>336</v>
      </c>
      <c r="V22" s="28">
        <v>3360000</v>
      </c>
      <c r="W22" s="28"/>
      <c r="X22" s="28">
        <v>3</v>
      </c>
      <c r="Y22" s="28">
        <v>3.36</v>
      </c>
      <c r="Z22" s="50" t="str">
        <f>IF(ISBLANK(E22),"",IF(E22=Y22,"correct","incorrect"))</f>
        <v/>
      </c>
      <c r="AA22" s="28"/>
      <c r="AB22" s="27"/>
    </row>
    <row r="23" spans="1:28" s="2" customFormat="1" ht="28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s="2" customFormat="1" ht="28" customHeight="1">
      <c r="A24" s="26"/>
      <c r="B24" s="29"/>
      <c r="C24" s="29"/>
      <c r="D24" s="27"/>
      <c r="E24" s="28"/>
      <c r="F24" s="28"/>
      <c r="G24" s="28"/>
      <c r="H24" s="47"/>
      <c r="I24" s="28"/>
      <c r="J24" s="28"/>
      <c r="K24" s="27"/>
      <c r="L24" s="27"/>
      <c r="M24" s="27"/>
      <c r="N24" s="27"/>
      <c r="O24" s="27"/>
      <c r="P24" s="28"/>
      <c r="Q24" s="27"/>
      <c r="R24" s="27"/>
      <c r="S24" s="28"/>
      <c r="T24" s="28"/>
      <c r="U24" s="28"/>
      <c r="V24" s="28"/>
      <c r="W24" s="28"/>
      <c r="X24" s="28"/>
      <c r="Y24" s="28"/>
      <c r="Z24" s="28"/>
      <c r="AA24" s="28"/>
      <c r="AB24" s="27"/>
    </row>
    <row r="25" spans="1:28" s="40" customFormat="1" hidden="1">
      <c r="A25" s="39"/>
      <c r="E25" s="41"/>
      <c r="F25" s="41"/>
      <c r="G25" s="41"/>
      <c r="H25" s="63"/>
      <c r="I25" s="41"/>
      <c r="J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8" customFormat="1" ht="28" hidden="1" customHeight="1">
      <c r="H26" s="64"/>
    </row>
    <row r="27" spans="1:28" s="2" customFormat="1" ht="28" hidden="1" customHeight="1">
      <c r="A27" s="26"/>
      <c r="B27" s="52">
        <f>B25+1</f>
        <v>1</v>
      </c>
      <c r="C27" s="59">
        <f ca="1">V27</f>
        <v>77600</v>
      </c>
      <c r="D27" s="45" t="s">
        <v>1</v>
      </c>
      <c r="E27" s="56">
        <v>4</v>
      </c>
      <c r="F27" s="55" t="s">
        <v>21</v>
      </c>
      <c r="G27" s="55">
        <v>10</v>
      </c>
      <c r="H27" s="54">
        <v>2</v>
      </c>
      <c r="I27" s="28"/>
      <c r="J27" s="28"/>
      <c r="K27" s="27"/>
      <c r="L27" s="27"/>
      <c r="M27" s="27"/>
      <c r="N27" s="27"/>
      <c r="O27" s="27"/>
      <c r="P27" s="28"/>
      <c r="Q27" s="50" t="str">
        <f ca="1">IF(ISBLANK(H27),"",IF(H27=R27,"correct","incorrect"))</f>
        <v>incorrect</v>
      </c>
      <c r="R27" s="48">
        <f ca="1">RANDBETWEEN(3,6)</f>
        <v>5</v>
      </c>
      <c r="S27" s="49" t="str">
        <f ca="1">IF(AND(R27&gt;9,R27&lt;100),INDEX(super,LEFT(R27,1)+1,1)&amp;INDEX(super,RIGHT(R27,1)+1,1),INDEX(super,R27+1,1))</f>
        <v>⁵</v>
      </c>
      <c r="T27" s="49">
        <f ca="1">10^R27</f>
        <v>100000</v>
      </c>
      <c r="U27" s="28">
        <f ca="1">FLOOR(RAND()*(10^(X27)),1)</f>
        <v>776</v>
      </c>
      <c r="V27" s="28">
        <f ca="1">Y27*T27</f>
        <v>77600</v>
      </c>
      <c r="W27" s="28"/>
      <c r="X27" s="28">
        <f ca="1">RANDBETWEEN(2,4)</f>
        <v>4</v>
      </c>
      <c r="Y27" s="28">
        <f ca="1">U27/10^(X27-1)</f>
        <v>0.77600000000000002</v>
      </c>
      <c r="Z27" s="50" t="str">
        <f ca="1">IF(ISBLANK(E27),"",IF(E27=Y27,"correct","incorrect"))</f>
        <v>incorrect</v>
      </c>
      <c r="AA27" s="28"/>
      <c r="AB27" s="27"/>
    </row>
    <row r="28" spans="1:28" hidden="1"/>
    <row r="29" spans="1:28" hidden="1"/>
    <row r="30" spans="1:28" hidden="1"/>
    <row r="31" spans="1:28" hidden="1"/>
    <row r="32" spans="1:2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</sheetData>
  <sheetProtection sheet="1" objects="1" scenarios="1" selectLockedCells="1"/>
  <phoneticPr fontId="54" type="noConversion"/>
  <conditionalFormatting sqref="P1">
    <cfRule type="cellIs" dxfId="204" priority="163" stopIfTrue="1" operator="lessThan">
      <formula>1</formula>
    </cfRule>
    <cfRule type="cellIs" dxfId="203" priority="164" stopIfTrue="1" operator="equal">
      <formula>1</formula>
    </cfRule>
  </conditionalFormatting>
  <conditionalFormatting sqref="H12">
    <cfRule type="expression" dxfId="202" priority="157">
      <formula>ISBLANK(H12)</formula>
    </cfRule>
    <cfRule type="expression" dxfId="201" priority="158">
      <formula>Q12="correct"</formula>
    </cfRule>
    <cfRule type="expression" dxfId="200" priority="159">
      <formula>Q12="incorrect"</formula>
    </cfRule>
  </conditionalFormatting>
  <conditionalFormatting sqref="E12">
    <cfRule type="expression" dxfId="199" priority="403">
      <formula>ISBLANK(E12)</formula>
    </cfRule>
    <cfRule type="expression" dxfId="198" priority="404">
      <formula>Z12="correct"</formula>
    </cfRule>
    <cfRule type="expression" dxfId="197" priority="405">
      <formula>Z12="incorrect"</formula>
    </cfRule>
  </conditionalFormatting>
  <conditionalFormatting sqref="H14">
    <cfRule type="expression" dxfId="196" priority="85">
      <formula>ISBLANK(H14)</formula>
    </cfRule>
    <cfRule type="expression" dxfId="195" priority="86">
      <formula>Q14="correct"</formula>
    </cfRule>
    <cfRule type="expression" dxfId="194" priority="87">
      <formula>Q14="incorrect"</formula>
    </cfRule>
  </conditionalFormatting>
  <conditionalFormatting sqref="H16">
    <cfRule type="expression" dxfId="193" priority="79">
      <formula>ISBLANK(H16)</formula>
    </cfRule>
    <cfRule type="expression" dxfId="192" priority="80">
      <formula>Q16="correct"</formula>
    </cfRule>
    <cfRule type="expression" dxfId="191" priority="81">
      <formula>Q16="incorrect"</formula>
    </cfRule>
  </conditionalFormatting>
  <conditionalFormatting sqref="E27">
    <cfRule type="expression" dxfId="190" priority="58">
      <formula>ISBLANK(E27)</formula>
    </cfRule>
    <cfRule type="expression" dxfId="189" priority="59">
      <formula>Z27="correct"</formula>
    </cfRule>
    <cfRule type="expression" dxfId="188" priority="60">
      <formula>Z27="incorrect"</formula>
    </cfRule>
  </conditionalFormatting>
  <conditionalFormatting sqref="H18">
    <cfRule type="expression" dxfId="187" priority="73">
      <formula>ISBLANK(H18)</formula>
    </cfRule>
    <cfRule type="expression" dxfId="186" priority="74">
      <formula>Q18="correct"</formula>
    </cfRule>
    <cfRule type="expression" dxfId="185" priority="75">
      <formula>Q18="incorrect"</formula>
    </cfRule>
  </conditionalFormatting>
  <conditionalFormatting sqref="E16">
    <cfRule type="expression" dxfId="184" priority="49">
      <formula>ISBLANK(E16)</formula>
    </cfRule>
    <cfRule type="expression" dxfId="183" priority="50">
      <formula>Z16="correct"</formula>
    </cfRule>
    <cfRule type="expression" dxfId="182" priority="51">
      <formula>Z16="incorrect"</formula>
    </cfRule>
  </conditionalFormatting>
  <conditionalFormatting sqref="H20">
    <cfRule type="expression" dxfId="181" priority="67">
      <formula>ISBLANK(H20)</formula>
    </cfRule>
    <cfRule type="expression" dxfId="180" priority="68">
      <formula>Q20="correct"</formula>
    </cfRule>
    <cfRule type="expression" dxfId="179" priority="69">
      <formula>Q20="incorrect"</formula>
    </cfRule>
  </conditionalFormatting>
  <conditionalFormatting sqref="E14">
    <cfRule type="expression" dxfId="178" priority="52">
      <formula>ISBLANK(E14)</formula>
    </cfRule>
    <cfRule type="expression" dxfId="177" priority="53">
      <formula>Z14="correct"</formula>
    </cfRule>
    <cfRule type="expression" dxfId="176" priority="54">
      <formula>Z14="incorrect"</formula>
    </cfRule>
  </conditionalFormatting>
  <conditionalFormatting sqref="H22">
    <cfRule type="expression" dxfId="175" priority="61">
      <formula>ISBLANK(H22)</formula>
    </cfRule>
    <cfRule type="expression" dxfId="174" priority="62">
      <formula>Q22="correct"</formula>
    </cfRule>
    <cfRule type="expression" dxfId="173" priority="63">
      <formula>Q22="incorrect"</formula>
    </cfRule>
  </conditionalFormatting>
  <conditionalFormatting sqref="H27">
    <cfRule type="expression" dxfId="172" priority="55">
      <formula>ISBLANK(H27)</formula>
    </cfRule>
    <cfRule type="expression" dxfId="171" priority="56">
      <formula>Q27="correct"</formula>
    </cfRule>
    <cfRule type="expression" dxfId="170" priority="57">
      <formula>Q27="incorrect"</formula>
    </cfRule>
  </conditionalFormatting>
  <conditionalFormatting sqref="E18">
    <cfRule type="expression" dxfId="169" priority="46">
      <formula>ISBLANK(E18)</formula>
    </cfRule>
    <cfRule type="expression" dxfId="168" priority="47">
      <formula>Z18="correct"</formula>
    </cfRule>
    <cfRule type="expression" dxfId="167" priority="48">
      <formula>Z18="incorrect"</formula>
    </cfRule>
  </conditionalFormatting>
  <conditionalFormatting sqref="E20">
    <cfRule type="expression" dxfId="166" priority="43">
      <formula>ISBLANK(E20)</formula>
    </cfRule>
    <cfRule type="expression" dxfId="165" priority="44">
      <formula>Z20="correct"</formula>
    </cfRule>
    <cfRule type="expression" dxfId="164" priority="45">
      <formula>Z20="incorrect"</formula>
    </cfRule>
  </conditionalFormatting>
  <conditionalFormatting sqref="E22">
    <cfRule type="expression" dxfId="163" priority="40">
      <formula>ISBLANK(E22)</formula>
    </cfRule>
    <cfRule type="expression" dxfId="162" priority="41">
      <formula>Z22="correct"</formula>
    </cfRule>
    <cfRule type="expression" dxfId="161" priority="42">
      <formula>Z22="incorrect"</formula>
    </cfRule>
  </conditionalFormatting>
  <conditionalFormatting sqref="H8">
    <cfRule type="expression" dxfId="160" priority="22">
      <formula>ISBLANK(H8)</formula>
    </cfRule>
    <cfRule type="expression" dxfId="159" priority="23">
      <formula>Q8="correct"</formula>
    </cfRule>
    <cfRule type="expression" dxfId="158" priority="24">
      <formula>Q8="incorrect"</formula>
    </cfRule>
  </conditionalFormatting>
  <conditionalFormatting sqref="H10">
    <cfRule type="expression" dxfId="157" priority="16">
      <formula>ISBLANK(H10)</formula>
    </cfRule>
    <cfRule type="expression" dxfId="156" priority="17">
      <formula>Q10="correct"</formula>
    </cfRule>
    <cfRule type="expression" dxfId="155" priority="18">
      <formula>Q10="incorrect"</formula>
    </cfRule>
  </conditionalFormatting>
  <conditionalFormatting sqref="E4">
    <cfRule type="expression" dxfId="154" priority="10">
      <formula>ISBLANK(E4)</formula>
    </cfRule>
    <cfRule type="expression" dxfId="153" priority="11">
      <formula>Z4="correct"</formula>
    </cfRule>
    <cfRule type="expression" dxfId="152" priority="12">
      <formula>Z4="incorrect"</formula>
    </cfRule>
  </conditionalFormatting>
  <conditionalFormatting sqref="E6">
    <cfRule type="expression" dxfId="151" priority="7">
      <formula>ISBLANK(E6)</formula>
    </cfRule>
    <cfRule type="expression" dxfId="150" priority="8">
      <formula>Z6="correct"</formula>
    </cfRule>
    <cfRule type="expression" dxfId="149" priority="9">
      <formula>Z6="incorrect"</formula>
    </cfRule>
  </conditionalFormatting>
  <conditionalFormatting sqref="E8">
    <cfRule type="expression" dxfId="148" priority="4">
      <formula>ISBLANK(E8)</formula>
    </cfRule>
    <cfRule type="expression" dxfId="147" priority="5">
      <formula>Z8="correct"</formula>
    </cfRule>
    <cfRule type="expression" dxfId="146" priority="6">
      <formula>Z8="incorrect"</formula>
    </cfRule>
  </conditionalFormatting>
  <hyperlinks>
    <hyperlink ref="AB1" location="'Scientific Notation Part 2'!A1" display="Next"/>
    <hyperlink ref="B1" location="'Powers of 10 Part 6'!A1" display="Previous"/>
  </hyperlinks>
  <pageMargins left="0.59055118110236227" right="0.59055118110236227" top="0.39370078740157483" bottom="0.39370078740157483" header="0.51181102362204722" footer="0.51181102362204722"/>
  <pageSetup paperSize="9" scale="60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87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24.6640625" style="42" customWidth="1"/>
    <col min="6" max="6" width="4.6640625" style="42" customWidth="1"/>
    <col min="7" max="7" width="5.6640625" style="42" customWidth="1"/>
    <col min="8" max="8" width="4.6640625" style="65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13" style="41" hidden="1" customWidth="1"/>
    <col min="22" max="22" width="15.1640625" style="41" hidden="1" customWidth="1"/>
    <col min="23" max="24" width="4.6640625" style="41" hidden="1" customWidth="1"/>
    <col min="25" max="25" width="9.83203125" style="41" hidden="1" customWidth="1"/>
    <col min="26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79"/>
      <c r="D1" s="32" t="str">
        <f ca="1">MID(CELL("filename",A1),FIND("]",CELL("filename",A1))+1,256)</f>
        <v>Scientific Notation Part 2</v>
      </c>
      <c r="E1" s="33"/>
      <c r="F1" s="33"/>
      <c r="G1" s="33"/>
      <c r="H1" s="61"/>
      <c r="I1" s="34"/>
      <c r="J1" s="34"/>
      <c r="K1" s="35"/>
      <c r="L1" s="36"/>
      <c r="M1" s="36"/>
      <c r="N1" s="36"/>
      <c r="O1" s="30" t="s">
        <v>0</v>
      </c>
      <c r="P1" s="37">
        <f>(COUNTIF(Q1:Q26,"Correct")+COUNTIF(Z1:Z26,"Correct"))/(COUNTA(Q1:Q26)+COUNTA(Z1:Z26))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25</v>
      </c>
      <c r="D2" s="36"/>
      <c r="E2" s="38"/>
      <c r="F2" s="38"/>
      <c r="G2" s="38"/>
      <c r="H2" s="62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47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f>B2+1</f>
        <v>1</v>
      </c>
      <c r="C4" s="59" t="str">
        <f>Y4&amp;" × "&amp;10&amp;S4</f>
        <v>4.5 × 10⁴</v>
      </c>
      <c r="D4" s="45" t="s">
        <v>1</v>
      </c>
      <c r="E4" s="57"/>
      <c r="F4" s="55"/>
      <c r="G4" s="55"/>
      <c r="H4" s="76"/>
      <c r="I4" s="28"/>
      <c r="J4" s="28"/>
      <c r="K4" s="27"/>
      <c r="L4" s="27"/>
      <c r="M4" s="27"/>
      <c r="N4" s="27"/>
      <c r="O4" s="27"/>
      <c r="P4" s="28"/>
      <c r="Q4" s="50"/>
      <c r="R4" s="48">
        <v>4</v>
      </c>
      <c r="S4" s="49" t="s">
        <v>15</v>
      </c>
      <c r="T4" s="49">
        <v>10000</v>
      </c>
      <c r="U4" s="28">
        <v>45</v>
      </c>
      <c r="V4" s="28">
        <v>45000</v>
      </c>
      <c r="W4" s="28"/>
      <c r="X4" s="28">
        <v>2</v>
      </c>
      <c r="Y4" s="28">
        <v>4.5</v>
      </c>
      <c r="Z4" s="50" t="str">
        <f>IF(ISBLANK(E4),"",IF(E4=V4,"correct","incorrect"))</f>
        <v/>
      </c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78"/>
      <c r="I5" s="28"/>
      <c r="J5" s="28"/>
      <c r="K5" s="27"/>
      <c r="L5" s="27"/>
      <c r="M5" s="27"/>
      <c r="N5" s="27"/>
      <c r="O5" s="27"/>
      <c r="P5" s="28"/>
      <c r="Q5" s="27"/>
      <c r="R5" s="27"/>
      <c r="S5" s="28"/>
      <c r="T5" s="28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59" t="str">
        <f>Y6&amp;" × "&amp;10&amp;S6</f>
        <v>6.718 × 10³</v>
      </c>
      <c r="D6" s="45" t="s">
        <v>1</v>
      </c>
      <c r="E6" s="57"/>
      <c r="F6" s="55"/>
      <c r="G6" s="55"/>
      <c r="H6" s="76"/>
      <c r="I6" s="28"/>
      <c r="J6" s="28"/>
      <c r="K6" s="27"/>
      <c r="L6" s="27"/>
      <c r="M6" s="27"/>
      <c r="N6" s="27"/>
      <c r="O6" s="27"/>
      <c r="P6" s="28"/>
      <c r="Q6" s="50"/>
      <c r="R6" s="48">
        <v>3</v>
      </c>
      <c r="S6" s="49" t="s">
        <v>16</v>
      </c>
      <c r="T6" s="49">
        <v>1000</v>
      </c>
      <c r="U6" s="28">
        <v>6718</v>
      </c>
      <c r="V6" s="28">
        <v>6718</v>
      </c>
      <c r="W6" s="28"/>
      <c r="X6" s="28">
        <v>4</v>
      </c>
      <c r="Y6" s="28">
        <v>6.718</v>
      </c>
      <c r="Z6" s="50" t="str">
        <f>IF(ISBLANK(E6),"",IF(E6=V6,"correct","incorrect"))</f>
        <v/>
      </c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78"/>
      <c r="I7" s="28"/>
      <c r="J7" s="28"/>
      <c r="K7" s="27"/>
      <c r="L7" s="27"/>
      <c r="M7" s="27"/>
      <c r="N7" s="27"/>
      <c r="O7" s="27"/>
      <c r="P7" s="28"/>
      <c r="Q7" s="27"/>
      <c r="R7" s="27"/>
      <c r="S7" s="28"/>
      <c r="T7" s="28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59" t="str">
        <f>Y8&amp;" × "&amp;10&amp;S8</f>
        <v>5.8 × 10⁵</v>
      </c>
      <c r="D8" s="45" t="s">
        <v>1</v>
      </c>
      <c r="E8" s="57"/>
      <c r="F8" s="55"/>
      <c r="G8" s="55"/>
      <c r="H8" s="76"/>
      <c r="I8" s="28"/>
      <c r="J8" s="28"/>
      <c r="K8" s="27"/>
      <c r="L8" s="27"/>
      <c r="M8" s="27"/>
      <c r="N8" s="27"/>
      <c r="O8" s="27"/>
      <c r="P8" s="28"/>
      <c r="Q8" s="50"/>
      <c r="R8" s="48">
        <v>5</v>
      </c>
      <c r="S8" s="49" t="s">
        <v>14</v>
      </c>
      <c r="T8" s="49">
        <v>100000</v>
      </c>
      <c r="U8" s="28">
        <v>58</v>
      </c>
      <c r="V8" s="28">
        <v>580000</v>
      </c>
      <c r="W8" s="28"/>
      <c r="X8" s="28">
        <v>2</v>
      </c>
      <c r="Y8" s="28">
        <v>5.8</v>
      </c>
      <c r="Z8" s="50" t="str">
        <f>IF(ISBLANK(E8),"",IF(E8=V8,"correct","incorrect"))</f>
        <v/>
      </c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78"/>
      <c r="I9" s="28"/>
      <c r="J9" s="28"/>
      <c r="K9" s="27"/>
      <c r="L9" s="27"/>
      <c r="M9" s="27"/>
      <c r="N9" s="27"/>
      <c r="O9" s="27"/>
      <c r="P9" s="28"/>
      <c r="Q9" s="27"/>
      <c r="R9" s="27"/>
      <c r="S9" s="28"/>
      <c r="T9" s="28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59" t="str">
        <f>Y10&amp;" × "&amp;10&amp;S10</f>
        <v>1.1 × 10⁶</v>
      </c>
      <c r="D10" s="45" t="s">
        <v>1</v>
      </c>
      <c r="E10" s="57"/>
      <c r="F10" s="55"/>
      <c r="G10" s="55"/>
      <c r="H10" s="76"/>
      <c r="I10" s="28"/>
      <c r="J10" s="28"/>
      <c r="K10" s="27"/>
      <c r="L10" s="27"/>
      <c r="M10" s="27"/>
      <c r="N10" s="27"/>
      <c r="O10" s="27"/>
      <c r="P10" s="28"/>
      <c r="Q10" s="50"/>
      <c r="R10" s="48">
        <v>6</v>
      </c>
      <c r="S10" s="49" t="s">
        <v>13</v>
      </c>
      <c r="T10" s="49">
        <v>1000000</v>
      </c>
      <c r="U10" s="28">
        <v>11</v>
      </c>
      <c r="V10" s="28">
        <v>1100000</v>
      </c>
      <c r="W10" s="28"/>
      <c r="X10" s="28">
        <v>2</v>
      </c>
      <c r="Y10" s="28">
        <v>1.1000000000000001</v>
      </c>
      <c r="Z10" s="50" t="str">
        <f>IF(ISBLANK(E10),"",IF(E10=V10,"correct","incorrect"))</f>
        <v/>
      </c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78"/>
      <c r="I11" s="28"/>
      <c r="J11" s="28"/>
      <c r="K11" s="27"/>
      <c r="L11" s="27"/>
      <c r="M11" s="27"/>
      <c r="N11" s="27"/>
      <c r="O11" s="27"/>
      <c r="P11" s="28"/>
      <c r="Q11" s="27"/>
      <c r="R11" s="27"/>
      <c r="S11" s="28"/>
      <c r="T11" s="28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59" t="str">
        <f>Y12&amp;" × "&amp;10&amp;S12</f>
        <v>1.062 × 10⁶</v>
      </c>
      <c r="D12" s="45" t="s">
        <v>1</v>
      </c>
      <c r="E12" s="57"/>
      <c r="F12" s="55"/>
      <c r="G12" s="55"/>
      <c r="H12" s="76"/>
      <c r="I12" s="28"/>
      <c r="J12" s="28"/>
      <c r="K12" s="27"/>
      <c r="L12" s="27"/>
      <c r="M12" s="27"/>
      <c r="N12" s="27"/>
      <c r="O12" s="27"/>
      <c r="P12" s="28"/>
      <c r="Q12" s="50"/>
      <c r="R12" s="48">
        <v>6</v>
      </c>
      <c r="S12" s="49" t="s">
        <v>13</v>
      </c>
      <c r="T12" s="49">
        <v>1000000</v>
      </c>
      <c r="U12" s="28">
        <v>1062</v>
      </c>
      <c r="V12" s="28">
        <v>1062000</v>
      </c>
      <c r="W12" s="28"/>
      <c r="X12" s="28">
        <v>4</v>
      </c>
      <c r="Y12" s="28">
        <v>1.0620000000000001</v>
      </c>
      <c r="Z12" s="50" t="str">
        <f>IF(ISBLANK(E12),"",IF(E12=V12,"correct","incorrect"))</f>
        <v/>
      </c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78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59" t="str">
        <f>Y14&amp;" × "&amp;10&amp;S14</f>
        <v>8.7 × 10⁵</v>
      </c>
      <c r="D14" s="45" t="s">
        <v>1</v>
      </c>
      <c r="E14" s="57"/>
      <c r="F14" s="55"/>
      <c r="G14" s="55"/>
      <c r="H14" s="76"/>
      <c r="I14" s="28"/>
      <c r="J14" s="28"/>
      <c r="K14" s="27"/>
      <c r="L14" s="27"/>
      <c r="M14" s="27"/>
      <c r="N14" s="27"/>
      <c r="O14" s="27"/>
      <c r="P14" s="28"/>
      <c r="Q14" s="50"/>
      <c r="R14" s="48">
        <v>5</v>
      </c>
      <c r="S14" s="49" t="s">
        <v>14</v>
      </c>
      <c r="T14" s="49">
        <v>100000</v>
      </c>
      <c r="U14" s="28">
        <v>87</v>
      </c>
      <c r="V14" s="28">
        <v>869999.99999999988</v>
      </c>
      <c r="W14" s="28"/>
      <c r="X14" s="28">
        <v>2</v>
      </c>
      <c r="Y14" s="28">
        <v>8.6999999999999993</v>
      </c>
      <c r="Z14" s="50" t="str">
        <f>IF(ISBLANK(E14),"",IF(E14=V14,"correct","incorrect"))</f>
        <v/>
      </c>
      <c r="AA14" s="28"/>
      <c r="AB14" s="27"/>
    </row>
    <row r="15" spans="1:28" s="2" customFormat="1" ht="28" customHeight="1">
      <c r="A15" s="26"/>
      <c r="B15" s="29"/>
      <c r="C15" s="29"/>
      <c r="D15" s="27"/>
      <c r="E15" s="28"/>
      <c r="F15" s="28"/>
      <c r="G15" s="28"/>
      <c r="H15" s="78"/>
      <c r="I15" s="28"/>
      <c r="J15" s="28"/>
      <c r="K15" s="27"/>
      <c r="L15" s="27"/>
      <c r="M15" s="27"/>
      <c r="N15" s="27"/>
      <c r="O15" s="27"/>
      <c r="P15" s="28"/>
      <c r="Q15" s="48"/>
      <c r="R15" s="48"/>
      <c r="S15" s="49"/>
      <c r="T15" s="49"/>
      <c r="U15" s="28"/>
      <c r="V15" s="28"/>
      <c r="W15" s="28"/>
      <c r="X15" s="28"/>
      <c r="Y15" s="28"/>
      <c r="Z15" s="28"/>
      <c r="AA15" s="28"/>
      <c r="AB15" s="27"/>
    </row>
    <row r="16" spans="1:28" s="2" customFormat="1" ht="28" customHeight="1">
      <c r="A16" s="26"/>
      <c r="B16" s="52">
        <f>B14+1</f>
        <v>7</v>
      </c>
      <c r="C16" s="59" t="str">
        <f>Y16&amp;" × "&amp;10&amp;S16</f>
        <v>8 × 10⁶</v>
      </c>
      <c r="D16" s="45" t="s">
        <v>1</v>
      </c>
      <c r="E16" s="57"/>
      <c r="F16" s="55"/>
      <c r="G16" s="55"/>
      <c r="H16" s="76"/>
      <c r="I16" s="28"/>
      <c r="J16" s="28"/>
      <c r="K16" s="27"/>
      <c r="L16" s="27"/>
      <c r="M16" s="27"/>
      <c r="N16" s="27"/>
      <c r="O16" s="27"/>
      <c r="P16" s="28"/>
      <c r="Q16" s="50"/>
      <c r="R16" s="48">
        <v>6</v>
      </c>
      <c r="S16" s="49" t="s">
        <v>13</v>
      </c>
      <c r="T16" s="49">
        <v>1000000</v>
      </c>
      <c r="U16" s="28">
        <v>800</v>
      </c>
      <c r="V16" s="28">
        <v>8000000</v>
      </c>
      <c r="W16" s="28"/>
      <c r="X16" s="28">
        <v>3</v>
      </c>
      <c r="Y16" s="28">
        <v>8</v>
      </c>
      <c r="Z16" s="50" t="str">
        <f>IF(ISBLANK(E16),"",IF(E16=V16,"correct","incorrect"))</f>
        <v/>
      </c>
      <c r="AA16" s="28"/>
      <c r="AB16" s="27"/>
    </row>
    <row r="17" spans="1:28" s="2" customFormat="1" ht="28" customHeight="1">
      <c r="A17" s="26"/>
      <c r="B17" s="29"/>
      <c r="C17" s="29"/>
      <c r="D17" s="27"/>
      <c r="E17" s="28"/>
      <c r="F17" s="28"/>
      <c r="G17" s="28"/>
      <c r="H17" s="78"/>
      <c r="I17" s="28"/>
      <c r="J17" s="28"/>
      <c r="K17" s="27"/>
      <c r="L17" s="27"/>
      <c r="M17" s="27"/>
      <c r="N17" s="27"/>
      <c r="O17" s="27"/>
      <c r="P17" s="28"/>
      <c r="Q17" s="48"/>
      <c r="R17" s="48"/>
      <c r="S17" s="49"/>
      <c r="T17" s="49"/>
      <c r="U17" s="28"/>
      <c r="V17" s="28"/>
      <c r="W17" s="28"/>
      <c r="X17" s="28"/>
      <c r="Y17" s="28"/>
      <c r="Z17" s="28"/>
      <c r="AA17" s="28"/>
      <c r="AB17" s="27"/>
    </row>
    <row r="18" spans="1:28" s="2" customFormat="1" ht="28" customHeight="1">
      <c r="A18" s="26"/>
      <c r="B18" s="52">
        <f>B16+1</f>
        <v>8</v>
      </c>
      <c r="C18" s="59" t="str">
        <f>Y18&amp;" × "&amp;10&amp;S18</f>
        <v>1.4 × 10⁵</v>
      </c>
      <c r="D18" s="45" t="s">
        <v>1</v>
      </c>
      <c r="E18" s="57"/>
      <c r="F18" s="55"/>
      <c r="G18" s="55"/>
      <c r="H18" s="76"/>
      <c r="I18" s="28"/>
      <c r="J18" s="28"/>
      <c r="K18" s="27"/>
      <c r="L18" s="27"/>
      <c r="M18" s="27"/>
      <c r="N18" s="27"/>
      <c r="O18" s="27"/>
      <c r="P18" s="28"/>
      <c r="Q18" s="50"/>
      <c r="R18" s="48">
        <v>5</v>
      </c>
      <c r="S18" s="49" t="s">
        <v>14</v>
      </c>
      <c r="T18" s="49">
        <v>100000</v>
      </c>
      <c r="U18" s="28">
        <v>14</v>
      </c>
      <c r="V18" s="28">
        <v>140000</v>
      </c>
      <c r="W18" s="28"/>
      <c r="X18" s="28">
        <v>2</v>
      </c>
      <c r="Y18" s="28">
        <v>1.4</v>
      </c>
      <c r="Z18" s="50" t="str">
        <f>IF(ISBLANK(E18),"",IF(E18=V18,"correct","incorrect"))</f>
        <v/>
      </c>
      <c r="AA18" s="28"/>
      <c r="AB18" s="27"/>
    </row>
    <row r="19" spans="1:28" s="2" customFormat="1" ht="28" customHeight="1">
      <c r="A19" s="26"/>
      <c r="B19" s="29"/>
      <c r="C19" s="29"/>
      <c r="D19" s="27"/>
      <c r="E19" s="28"/>
      <c r="F19" s="28"/>
      <c r="G19" s="28"/>
      <c r="H19" s="78"/>
      <c r="I19" s="28"/>
      <c r="J19" s="28"/>
      <c r="K19" s="27"/>
      <c r="L19" s="27"/>
      <c r="M19" s="27"/>
      <c r="N19" s="27"/>
      <c r="O19" s="27"/>
      <c r="P19" s="28"/>
      <c r="Q19" s="48"/>
      <c r="R19" s="48"/>
      <c r="S19" s="49"/>
      <c r="T19" s="49"/>
      <c r="U19" s="28"/>
      <c r="V19" s="28"/>
      <c r="W19" s="28"/>
      <c r="X19" s="28"/>
      <c r="Y19" s="28"/>
      <c r="Z19" s="28"/>
      <c r="AA19" s="28"/>
      <c r="AB19" s="27"/>
    </row>
    <row r="20" spans="1:28" s="2" customFormat="1" ht="28" customHeight="1">
      <c r="A20" s="26"/>
      <c r="B20" s="52">
        <f>B18+1</f>
        <v>9</v>
      </c>
      <c r="C20" s="59" t="str">
        <f>Y20&amp;" × "&amp;10&amp;S20</f>
        <v>5.927 × 10³</v>
      </c>
      <c r="D20" s="45" t="s">
        <v>1</v>
      </c>
      <c r="E20" s="57"/>
      <c r="F20" s="55"/>
      <c r="G20" s="55"/>
      <c r="H20" s="76"/>
      <c r="I20" s="28"/>
      <c r="J20" s="28"/>
      <c r="K20" s="27"/>
      <c r="L20" s="27"/>
      <c r="M20" s="27"/>
      <c r="N20" s="27"/>
      <c r="O20" s="27"/>
      <c r="P20" s="28"/>
      <c r="Q20" s="50"/>
      <c r="R20" s="48">
        <v>3</v>
      </c>
      <c r="S20" s="49" t="s">
        <v>16</v>
      </c>
      <c r="T20" s="49">
        <v>1000</v>
      </c>
      <c r="U20" s="28">
        <v>5927</v>
      </c>
      <c r="V20" s="28">
        <v>5927</v>
      </c>
      <c r="W20" s="28"/>
      <c r="X20" s="28">
        <v>4</v>
      </c>
      <c r="Y20" s="28">
        <v>5.9269999999999996</v>
      </c>
      <c r="Z20" s="50" t="str">
        <f>IF(ISBLANK(E20),"",IF(E20=V20,"correct","incorrect"))</f>
        <v/>
      </c>
      <c r="AA20" s="28"/>
      <c r="AB20" s="27"/>
    </row>
    <row r="21" spans="1:28" s="2" customFormat="1" ht="28" customHeight="1">
      <c r="A21" s="26"/>
      <c r="B21" s="29"/>
      <c r="C21" s="29"/>
      <c r="D21" s="27"/>
      <c r="E21" s="28"/>
      <c r="F21" s="28"/>
      <c r="G21" s="28"/>
      <c r="H21" s="78"/>
      <c r="I21" s="28"/>
      <c r="J21" s="28"/>
      <c r="K21" s="27"/>
      <c r="L21" s="27"/>
      <c r="M21" s="27"/>
      <c r="N21" s="27"/>
      <c r="O21" s="27"/>
      <c r="P21" s="28"/>
      <c r="Q21" s="48"/>
      <c r="R21" s="48"/>
      <c r="S21" s="49"/>
      <c r="T21" s="49"/>
      <c r="U21" s="28"/>
      <c r="V21" s="28"/>
      <c r="W21" s="28"/>
      <c r="X21" s="28"/>
      <c r="Y21" s="28"/>
      <c r="Z21" s="28"/>
      <c r="AA21" s="28"/>
      <c r="AB21" s="27"/>
    </row>
    <row r="22" spans="1:28" s="2" customFormat="1" ht="28" customHeight="1">
      <c r="A22" s="26"/>
      <c r="B22" s="52">
        <f>B20+1</f>
        <v>10</v>
      </c>
      <c r="C22" s="59" t="str">
        <f>Y22&amp;" × "&amp;10&amp;S22</f>
        <v>3.51 × 10⁵</v>
      </c>
      <c r="D22" s="45" t="s">
        <v>1</v>
      </c>
      <c r="E22" s="57"/>
      <c r="F22" s="55"/>
      <c r="G22" s="55"/>
      <c r="H22" s="76"/>
      <c r="I22" s="28"/>
      <c r="J22" s="28"/>
      <c r="K22" s="27"/>
      <c r="L22" s="27"/>
      <c r="M22" s="27"/>
      <c r="N22" s="27"/>
      <c r="O22" s="27"/>
      <c r="P22" s="28"/>
      <c r="Q22" s="50"/>
      <c r="R22" s="48">
        <v>5</v>
      </c>
      <c r="S22" s="49" t="s">
        <v>14</v>
      </c>
      <c r="T22" s="49">
        <v>100000</v>
      </c>
      <c r="U22" s="28">
        <v>351</v>
      </c>
      <c r="V22" s="28">
        <v>351000</v>
      </c>
      <c r="W22" s="28"/>
      <c r="X22" s="28">
        <v>3</v>
      </c>
      <c r="Y22" s="28">
        <v>3.51</v>
      </c>
      <c r="Z22" s="50" t="str">
        <f>IF(ISBLANK(E22),"",IF(E22=V22,"correct","incorrect"))</f>
        <v/>
      </c>
      <c r="AA22" s="28"/>
      <c r="AB22" s="27"/>
    </row>
    <row r="23" spans="1:28" s="2" customFormat="1" ht="28" customHeight="1">
      <c r="A23" s="47"/>
      <c r="B23" s="47"/>
      <c r="C23" s="47"/>
      <c r="D23" s="47"/>
      <c r="E23" s="47"/>
      <c r="F23" s="47"/>
      <c r="G23" s="47"/>
      <c r="H23" s="6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s="2" customFormat="1" ht="28" customHeight="1">
      <c r="A24" s="26"/>
      <c r="B24" s="29"/>
      <c r="C24" s="29"/>
      <c r="D24" s="27"/>
      <c r="E24" s="28"/>
      <c r="F24" s="28"/>
      <c r="G24" s="28"/>
      <c r="H24" s="66"/>
      <c r="I24" s="28"/>
      <c r="J24" s="28"/>
      <c r="K24" s="27"/>
      <c r="L24" s="27"/>
      <c r="M24" s="27"/>
      <c r="N24" s="27"/>
      <c r="O24" s="27"/>
      <c r="P24" s="28"/>
      <c r="Q24" s="27"/>
      <c r="R24" s="27"/>
      <c r="S24" s="28"/>
      <c r="T24" s="28"/>
      <c r="U24" s="28"/>
      <c r="V24" s="28"/>
      <c r="W24" s="28"/>
      <c r="X24" s="28"/>
      <c r="Y24" s="28"/>
      <c r="Z24" s="28"/>
      <c r="AA24" s="28"/>
      <c r="AB24" s="27"/>
    </row>
    <row r="25" spans="1:28" s="40" customFormat="1" hidden="1">
      <c r="A25" s="39"/>
      <c r="E25" s="41"/>
      <c r="F25" s="41"/>
      <c r="G25" s="41"/>
      <c r="H25" s="63"/>
      <c r="I25" s="41"/>
      <c r="J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8" customFormat="1" ht="28" hidden="1" customHeight="1">
      <c r="H26" s="64"/>
    </row>
    <row r="27" spans="1:28" s="2" customFormat="1" ht="28" hidden="1" customHeight="1">
      <c r="A27" s="26"/>
      <c r="B27" s="52">
        <f>B25+1</f>
        <v>1</v>
      </c>
      <c r="C27" s="59">
        <f ca="1">V27</f>
        <v>95000</v>
      </c>
      <c r="D27" s="45" t="s">
        <v>1</v>
      </c>
      <c r="E27" s="56">
        <v>4</v>
      </c>
      <c r="F27" s="55"/>
      <c r="G27" s="55"/>
      <c r="H27" s="54"/>
      <c r="I27" s="28"/>
      <c r="J27" s="28"/>
      <c r="K27" s="27"/>
      <c r="L27" s="27"/>
      <c r="M27" s="27"/>
      <c r="N27" s="27"/>
      <c r="O27" s="27"/>
      <c r="P27" s="28"/>
      <c r="Q27" s="50" t="str">
        <f>IF(ISBLANK(H27),"",IF(H27=R27,"correct","incorrect"))</f>
        <v/>
      </c>
      <c r="R27" s="48">
        <f ca="1">RANDBETWEEN(3,6)</f>
        <v>4</v>
      </c>
      <c r="S27" s="49" t="str">
        <f ca="1">IF(AND(R27&gt;9,R27&lt;100),INDEX(super,LEFT(R27,1)+1,1)&amp;INDEX(super,RIGHT(R27,1)+1,1),INDEX(super,R27+1,1))</f>
        <v>⁴</v>
      </c>
      <c r="T27" s="49">
        <f ca="1">10^R27</f>
        <v>10000</v>
      </c>
      <c r="U27" s="28">
        <f ca="1">FLOOR(RAND()*(10^(X27)),1)</f>
        <v>95</v>
      </c>
      <c r="V27" s="28">
        <f ca="1">Y27*T27</f>
        <v>95000</v>
      </c>
      <c r="W27" s="28"/>
      <c r="X27" s="28">
        <f ca="1">RANDBETWEEN(2,4)</f>
        <v>2</v>
      </c>
      <c r="Y27" s="28">
        <f ca="1">U27/10^(X27-1)</f>
        <v>9.5</v>
      </c>
      <c r="Z27" s="50" t="str">
        <f ca="1">IF(ISBLANK(E27),"",IF(E27=Y27,"correct","incorrect"))</f>
        <v>incorrect</v>
      </c>
      <c r="AA27" s="28"/>
      <c r="AB27" s="27"/>
    </row>
    <row r="28" spans="1:28" hidden="1"/>
    <row r="29" spans="1:28" hidden="1"/>
    <row r="30" spans="1:28" hidden="1"/>
    <row r="31" spans="1:28" hidden="1"/>
    <row r="32" spans="1:2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</sheetData>
  <sheetProtection sheet="1" objects="1" scenarios="1" selectLockedCells="1"/>
  <phoneticPr fontId="54" type="noConversion"/>
  <conditionalFormatting sqref="P1">
    <cfRule type="cellIs" dxfId="145" priority="91" stopIfTrue="1" operator="lessThan">
      <formula>1</formula>
    </cfRule>
    <cfRule type="cellIs" dxfId="144" priority="92" stopIfTrue="1" operator="equal">
      <formula>1</formula>
    </cfRule>
  </conditionalFormatting>
  <conditionalFormatting sqref="E27">
    <cfRule type="expression" dxfId="143" priority="70">
      <formula>ISBLANK(E27)</formula>
    </cfRule>
    <cfRule type="expression" dxfId="142" priority="71">
      <formula>Z27="correct"</formula>
    </cfRule>
    <cfRule type="expression" dxfId="141" priority="72">
      <formula>Z27="incorrect"</formula>
    </cfRule>
  </conditionalFormatting>
  <conditionalFormatting sqref="E4">
    <cfRule type="expression" dxfId="140" priority="43">
      <formula>ISBLANK(E4)</formula>
    </cfRule>
    <cfRule type="expression" dxfId="139" priority="44">
      <formula>Z4="correct"</formula>
    </cfRule>
    <cfRule type="expression" dxfId="138" priority="45">
      <formula>Z4="incorrect"</formula>
    </cfRule>
  </conditionalFormatting>
  <conditionalFormatting sqref="E6">
    <cfRule type="expression" dxfId="137" priority="25">
      <formula>ISBLANK(E6)</formula>
    </cfRule>
    <cfRule type="expression" dxfId="136" priority="26">
      <formula>Z6="correct"</formula>
    </cfRule>
    <cfRule type="expression" dxfId="135" priority="27">
      <formula>Z6="incorrect"</formula>
    </cfRule>
  </conditionalFormatting>
  <conditionalFormatting sqref="E8">
    <cfRule type="expression" dxfId="134" priority="22">
      <formula>ISBLANK(E8)</formula>
    </cfRule>
    <cfRule type="expression" dxfId="133" priority="23">
      <formula>Z8="correct"</formula>
    </cfRule>
    <cfRule type="expression" dxfId="132" priority="24">
      <formula>Z8="incorrect"</formula>
    </cfRule>
  </conditionalFormatting>
  <conditionalFormatting sqref="E10">
    <cfRule type="expression" dxfId="131" priority="19">
      <formula>ISBLANK(E10)</formula>
    </cfRule>
    <cfRule type="expression" dxfId="130" priority="20">
      <formula>Z10="correct"</formula>
    </cfRule>
    <cfRule type="expression" dxfId="129" priority="21">
      <formula>Z10="incorrect"</formula>
    </cfRule>
  </conditionalFormatting>
  <conditionalFormatting sqref="E12">
    <cfRule type="expression" dxfId="128" priority="16">
      <formula>ISBLANK(E12)</formula>
    </cfRule>
    <cfRule type="expression" dxfId="127" priority="17">
      <formula>Z12="correct"</formula>
    </cfRule>
    <cfRule type="expression" dxfId="126" priority="18">
      <formula>Z12="incorrect"</formula>
    </cfRule>
  </conditionalFormatting>
  <conditionalFormatting sqref="E14">
    <cfRule type="expression" dxfId="125" priority="13">
      <formula>ISBLANK(E14)</formula>
    </cfRule>
    <cfRule type="expression" dxfId="124" priority="14">
      <formula>Z14="correct"</formula>
    </cfRule>
    <cfRule type="expression" dxfId="123" priority="15">
      <formula>Z14="incorrect"</formula>
    </cfRule>
  </conditionalFormatting>
  <conditionalFormatting sqref="E16">
    <cfRule type="expression" dxfId="122" priority="10">
      <formula>ISBLANK(E16)</formula>
    </cfRule>
    <cfRule type="expression" dxfId="121" priority="11">
      <formula>Z16="correct"</formula>
    </cfRule>
    <cfRule type="expression" dxfId="120" priority="12">
      <formula>Z16="incorrect"</formula>
    </cfRule>
  </conditionalFormatting>
  <conditionalFormatting sqref="E18">
    <cfRule type="expression" dxfId="119" priority="7">
      <formula>ISBLANK(E18)</formula>
    </cfRule>
    <cfRule type="expression" dxfId="118" priority="8">
      <formula>Z18="correct"</formula>
    </cfRule>
    <cfRule type="expression" dxfId="117" priority="9">
      <formula>Z18="incorrect"</formula>
    </cfRule>
  </conditionalFormatting>
  <conditionalFormatting sqref="E20">
    <cfRule type="expression" dxfId="116" priority="4">
      <formula>ISBLANK(E20)</formula>
    </cfRule>
    <cfRule type="expression" dxfId="115" priority="5">
      <formula>Z20="correct"</formula>
    </cfRule>
    <cfRule type="expression" dxfId="114" priority="6">
      <formula>Z20="incorrect"</formula>
    </cfRule>
  </conditionalFormatting>
  <conditionalFormatting sqref="E22">
    <cfRule type="expression" dxfId="113" priority="1">
      <formula>ISBLANK(E22)</formula>
    </cfRule>
    <cfRule type="expression" dxfId="112" priority="2">
      <formula>Z22="correct"</formula>
    </cfRule>
    <cfRule type="expression" dxfId="111" priority="3">
      <formula>Z22="incorrect"</formula>
    </cfRule>
  </conditionalFormatting>
  <hyperlinks>
    <hyperlink ref="AB1" location="'Scientific Notation Part 3'!A1" display="Next"/>
    <hyperlink ref="B1" location="'Scientific Notation Part 1'!A1" display="Previous"/>
  </hyperlinks>
  <pageMargins left="0.59055118110236227" right="0.59055118110236227" top="0.39370078740157483" bottom="0.39370078740157483" header="0.51181102362204722" footer="0.51181102362204722"/>
  <pageSetup paperSize="9" scale="57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87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18.6640625" style="42" customWidth="1"/>
    <col min="6" max="6" width="4.6640625" style="42" customWidth="1"/>
    <col min="7" max="7" width="5.6640625" style="42" customWidth="1"/>
    <col min="8" max="8" width="4.6640625" style="65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13" style="41" hidden="1" customWidth="1"/>
    <col min="22" max="22" width="18.6640625" style="41" hidden="1" customWidth="1"/>
    <col min="23" max="24" width="4.6640625" style="41" hidden="1" customWidth="1"/>
    <col min="25" max="25" width="9.83203125" style="41" hidden="1" customWidth="1"/>
    <col min="26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79"/>
      <c r="D1" s="32" t="str">
        <f ca="1">MID(CELL("filename",A1),FIND("]",CELL("filename",A1))+1,256)</f>
        <v>Scientific Notation Part 3</v>
      </c>
      <c r="E1" s="33"/>
      <c r="F1" s="33"/>
      <c r="G1" s="33"/>
      <c r="H1" s="61"/>
      <c r="I1" s="34"/>
      <c r="J1" s="34"/>
      <c r="K1" s="35"/>
      <c r="L1" s="36"/>
      <c r="M1" s="36"/>
      <c r="N1" s="36"/>
      <c r="O1" s="30" t="s">
        <v>0</v>
      </c>
      <c r="P1" s="37">
        <f>(COUNTIF(Q1:Q26,"Correct")+COUNTIF(Z1:Z26,"Correct"))/(COUNTA(Q1:Q26)+COUNTA(Z1:Z26))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24</v>
      </c>
      <c r="D2" s="36"/>
      <c r="E2" s="38"/>
      <c r="F2" s="38"/>
      <c r="G2" s="38"/>
      <c r="H2" s="62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47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f>B2+1</f>
        <v>1</v>
      </c>
      <c r="C4" s="67">
        <f>V4</f>
        <v>9.5E-4</v>
      </c>
      <c r="D4" s="45" t="s">
        <v>1</v>
      </c>
      <c r="E4" s="60"/>
      <c r="F4" s="55" t="s">
        <v>21</v>
      </c>
      <c r="G4" s="55">
        <v>10</v>
      </c>
      <c r="H4" s="80" t="str">
        <f>S4</f>
        <v>⁻⁴</v>
      </c>
      <c r="I4" s="28"/>
      <c r="J4" s="28"/>
      <c r="K4" s="27"/>
      <c r="L4" s="27"/>
      <c r="M4" s="27"/>
      <c r="N4" s="27"/>
      <c r="O4" s="27"/>
      <c r="P4" s="28"/>
      <c r="Q4" s="50"/>
      <c r="R4" s="48">
        <v>4</v>
      </c>
      <c r="S4" s="49" t="s">
        <v>26</v>
      </c>
      <c r="T4" s="49">
        <v>10000</v>
      </c>
      <c r="U4" s="28">
        <v>95</v>
      </c>
      <c r="V4" s="28">
        <v>9.5E-4</v>
      </c>
      <c r="W4" s="28"/>
      <c r="X4" s="28">
        <v>2</v>
      </c>
      <c r="Y4" s="28">
        <v>9.5</v>
      </c>
      <c r="Z4" s="50" t="str">
        <f>IF(ISBLANK(E4),"",IF(E4=Y4,"correct","incorrect"))</f>
        <v/>
      </c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47"/>
      <c r="I5" s="28"/>
      <c r="J5" s="28"/>
      <c r="K5" s="27"/>
      <c r="L5" s="27"/>
      <c r="M5" s="27"/>
      <c r="N5" s="27"/>
      <c r="O5" s="27"/>
      <c r="P5" s="28"/>
      <c r="Q5" s="27"/>
      <c r="R5" s="27"/>
      <c r="S5" s="28"/>
      <c r="T5" s="28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67">
        <f>V6</f>
        <v>8.210000000000001E-6</v>
      </c>
      <c r="D6" s="45" t="s">
        <v>1</v>
      </c>
      <c r="E6" s="60"/>
      <c r="F6" s="55" t="s">
        <v>21</v>
      </c>
      <c r="G6" s="55">
        <v>10</v>
      </c>
      <c r="H6" s="80" t="str">
        <f>S6</f>
        <v>⁻⁶</v>
      </c>
      <c r="I6" s="28"/>
      <c r="J6" s="28"/>
      <c r="K6" s="27"/>
      <c r="L6" s="27"/>
      <c r="M6" s="27"/>
      <c r="N6" s="27"/>
      <c r="O6" s="27"/>
      <c r="P6" s="28"/>
      <c r="Q6" s="50"/>
      <c r="R6" s="48">
        <v>6</v>
      </c>
      <c r="S6" s="49" t="s">
        <v>27</v>
      </c>
      <c r="T6" s="49">
        <v>1000000</v>
      </c>
      <c r="U6" s="28">
        <v>821</v>
      </c>
      <c r="V6" s="28">
        <v>8.210000000000001E-6</v>
      </c>
      <c r="W6" s="28"/>
      <c r="X6" s="28">
        <v>3</v>
      </c>
      <c r="Y6" s="28">
        <v>8.2100000000000009</v>
      </c>
      <c r="Z6" s="50" t="str">
        <f>IF(ISBLANK(E6),"",IF(E6=Y6,"correct","incorrect"))</f>
        <v/>
      </c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47"/>
      <c r="I7" s="28"/>
      <c r="J7" s="28"/>
      <c r="K7" s="27"/>
      <c r="L7" s="27"/>
      <c r="M7" s="27"/>
      <c r="N7" s="27"/>
      <c r="O7" s="27"/>
      <c r="P7" s="28"/>
      <c r="Q7" s="27"/>
      <c r="R7" s="27"/>
      <c r="S7" s="28"/>
      <c r="T7" s="28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67">
        <f>V8</f>
        <v>8.6999999999999994E-3</v>
      </c>
      <c r="D8" s="45" t="s">
        <v>1</v>
      </c>
      <c r="E8" s="77">
        <f>Y8</f>
        <v>8.6999999999999993</v>
      </c>
      <c r="F8" s="55" t="s">
        <v>21</v>
      </c>
      <c r="G8" s="55">
        <v>10</v>
      </c>
      <c r="H8" s="54"/>
      <c r="I8" s="28"/>
      <c r="J8" s="28"/>
      <c r="K8" s="27"/>
      <c r="L8" s="27"/>
      <c r="M8" s="27"/>
      <c r="N8" s="27"/>
      <c r="O8" s="27"/>
      <c r="P8" s="28"/>
      <c r="Q8" s="50" t="str">
        <f>IF(ISBLANK(H8),"",IF(H8=(-1)*R8,"correct","incorrect"))</f>
        <v/>
      </c>
      <c r="R8" s="48">
        <v>3</v>
      </c>
      <c r="S8" s="49" t="str">
        <f>"⁻"&amp;IF(AND(R8&gt;9,R8&lt;100),INDEX(super,LEFT(R8,1)+1,1)&amp;INDEX(super,RIGHT(R8,1)+1,1),INDEX(super,R8+1,1))</f>
        <v>⁻³</v>
      </c>
      <c r="T8" s="49">
        <v>1000</v>
      </c>
      <c r="U8" s="28">
        <v>87</v>
      </c>
      <c r="V8" s="28">
        <v>8.6999999999999994E-3</v>
      </c>
      <c r="W8" s="28"/>
      <c r="X8" s="28">
        <v>2</v>
      </c>
      <c r="Y8" s="28">
        <v>8.6999999999999993</v>
      </c>
      <c r="Z8" s="50"/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47"/>
      <c r="I9" s="28"/>
      <c r="J9" s="28"/>
      <c r="K9" s="27"/>
      <c r="L9" s="27"/>
      <c r="M9" s="27"/>
      <c r="N9" s="27"/>
      <c r="O9" s="27"/>
      <c r="P9" s="28"/>
      <c r="Q9" s="27"/>
      <c r="R9" s="27"/>
      <c r="S9" s="28"/>
      <c r="T9" s="28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67">
        <f>V10</f>
        <v>2.1899999999999998E-6</v>
      </c>
      <c r="D10" s="45" t="s">
        <v>1</v>
      </c>
      <c r="E10" s="77">
        <f>Y10</f>
        <v>2.19</v>
      </c>
      <c r="F10" s="55" t="s">
        <v>21</v>
      </c>
      <c r="G10" s="55">
        <v>10</v>
      </c>
      <c r="H10" s="54"/>
      <c r="I10" s="28"/>
      <c r="J10" s="28"/>
      <c r="K10" s="27"/>
      <c r="L10" s="27"/>
      <c r="M10" s="27"/>
      <c r="N10" s="27"/>
      <c r="O10" s="27"/>
      <c r="P10" s="28"/>
      <c r="Q10" s="50" t="str">
        <f>IF(ISBLANK(H10),"",IF(H10=(-1)*R10,"correct","incorrect"))</f>
        <v/>
      </c>
      <c r="R10" s="48">
        <v>6</v>
      </c>
      <c r="S10" s="49" t="str">
        <f>"⁻"&amp;IF(AND(R10&gt;9,R10&lt;100),INDEX(super,LEFT(R10,1)+1,1)&amp;INDEX(super,RIGHT(R10,1)+1,1),INDEX(super,R10+1,1))</f>
        <v>⁻⁶</v>
      </c>
      <c r="T10" s="49">
        <v>1000000</v>
      </c>
      <c r="U10" s="28">
        <v>219</v>
      </c>
      <c r="V10" s="28">
        <v>2.1899999999999998E-6</v>
      </c>
      <c r="W10" s="28"/>
      <c r="X10" s="28">
        <v>3</v>
      </c>
      <c r="Y10" s="28">
        <v>2.19</v>
      </c>
      <c r="Z10" s="50"/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47"/>
      <c r="I11" s="28"/>
      <c r="J11" s="28"/>
      <c r="K11" s="27"/>
      <c r="L11" s="27"/>
      <c r="M11" s="27"/>
      <c r="N11" s="27"/>
      <c r="O11" s="27"/>
      <c r="P11" s="28"/>
      <c r="Q11" s="27"/>
      <c r="R11" s="27"/>
      <c r="S11" s="28"/>
      <c r="T11" s="28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67">
        <f>V12</f>
        <v>9.3000000000000005E-4</v>
      </c>
      <c r="D12" s="45" t="s">
        <v>1</v>
      </c>
      <c r="E12" s="60"/>
      <c r="F12" s="55" t="s">
        <v>21</v>
      </c>
      <c r="G12" s="55">
        <v>10</v>
      </c>
      <c r="H12" s="54"/>
      <c r="I12" s="28"/>
      <c r="J12" s="28"/>
      <c r="K12" s="27"/>
      <c r="L12" s="27"/>
      <c r="M12" s="27"/>
      <c r="N12" s="27"/>
      <c r="O12" s="27"/>
      <c r="P12" s="28"/>
      <c r="Q12" s="50" t="str">
        <f>IF(ISBLANK(H12),"",IF(H12=(-1)*R12,"correct","incorrect"))</f>
        <v/>
      </c>
      <c r="R12" s="48">
        <v>4</v>
      </c>
      <c r="S12" s="49" t="str">
        <f>"⁻"&amp;IF(AND(R12&gt;9,R12&lt;100),INDEX(super,LEFT(R12,1)+1,1)&amp;INDEX(super,RIGHT(R12,1)+1,1),INDEX(super,R12+1,1))</f>
        <v>⁻⁴</v>
      </c>
      <c r="T12" s="49">
        <v>10000</v>
      </c>
      <c r="U12" s="28">
        <v>93</v>
      </c>
      <c r="V12" s="28">
        <v>9.3000000000000005E-4</v>
      </c>
      <c r="W12" s="28"/>
      <c r="X12" s="28">
        <v>2</v>
      </c>
      <c r="Y12" s="28">
        <v>9.3000000000000007</v>
      </c>
      <c r="Z12" s="50" t="str">
        <f>IF(ISBLANK(E12),"",IF(E12=Y12,"correct","incorrect"))</f>
        <v/>
      </c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47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67">
        <f>V14</f>
        <v>4.18E-5</v>
      </c>
      <c r="D14" s="45" t="s">
        <v>1</v>
      </c>
      <c r="E14" s="60"/>
      <c r="F14" s="55" t="s">
        <v>21</v>
      </c>
      <c r="G14" s="55">
        <v>10</v>
      </c>
      <c r="H14" s="54"/>
      <c r="I14" s="28"/>
      <c r="J14" s="28"/>
      <c r="K14" s="27"/>
      <c r="L14" s="27"/>
      <c r="M14" s="27"/>
      <c r="N14" s="27"/>
      <c r="O14" s="27"/>
      <c r="P14" s="28"/>
      <c r="Q14" s="50" t="str">
        <f>IF(ISBLANK(H14),"",IF(H14=(-1)*R14,"correct","incorrect"))</f>
        <v/>
      </c>
      <c r="R14" s="48">
        <v>5</v>
      </c>
      <c r="S14" s="49" t="str">
        <f>"⁻"&amp;IF(AND(R14&gt;9,R14&lt;100),INDEX(super,LEFT(R14,1)+1,1)&amp;INDEX(super,RIGHT(R14,1)+1,1),INDEX(super,R14+1,1))</f>
        <v>⁻⁵</v>
      </c>
      <c r="T14" s="49">
        <v>100000</v>
      </c>
      <c r="U14" s="28">
        <v>418</v>
      </c>
      <c r="V14" s="28">
        <v>4.18E-5</v>
      </c>
      <c r="W14" s="28"/>
      <c r="X14" s="28">
        <v>3</v>
      </c>
      <c r="Y14" s="28">
        <v>4.18</v>
      </c>
      <c r="Z14" s="50" t="str">
        <f>IF(ISBLANK(E14),"",IF(E14=Y14,"correct","incorrect"))</f>
        <v/>
      </c>
      <c r="AA14" s="28"/>
      <c r="AB14" s="27"/>
    </row>
    <row r="15" spans="1:28" s="2" customFormat="1" ht="28" customHeight="1">
      <c r="A15" s="26"/>
      <c r="B15" s="29"/>
      <c r="C15" s="29"/>
      <c r="D15" s="27"/>
      <c r="E15" s="28"/>
      <c r="F15" s="28"/>
      <c r="G15" s="28"/>
      <c r="H15" s="47"/>
      <c r="I15" s="28"/>
      <c r="J15" s="28"/>
      <c r="K15" s="27"/>
      <c r="L15" s="27"/>
      <c r="M15" s="27"/>
      <c r="N15" s="27"/>
      <c r="O15" s="27"/>
      <c r="P15" s="28"/>
      <c r="Q15" s="48"/>
      <c r="R15" s="48"/>
      <c r="S15" s="49"/>
      <c r="T15" s="49"/>
      <c r="U15" s="28"/>
      <c r="V15" s="28"/>
      <c r="W15" s="28"/>
      <c r="X15" s="28"/>
      <c r="Y15" s="28"/>
      <c r="Z15" s="28"/>
      <c r="AA15" s="28"/>
      <c r="AB15" s="27"/>
    </row>
    <row r="16" spans="1:28" s="2" customFormat="1" ht="28" customHeight="1">
      <c r="A16" s="26"/>
      <c r="B16" s="52">
        <f>B14+1</f>
        <v>7</v>
      </c>
      <c r="C16" s="67">
        <f>V16</f>
        <v>3.5E-4</v>
      </c>
      <c r="D16" s="45" t="s">
        <v>1</v>
      </c>
      <c r="E16" s="60"/>
      <c r="F16" s="55" t="s">
        <v>21</v>
      </c>
      <c r="G16" s="55">
        <v>10</v>
      </c>
      <c r="H16" s="54"/>
      <c r="I16" s="28"/>
      <c r="J16" s="28"/>
      <c r="K16" s="27"/>
      <c r="L16" s="27"/>
      <c r="M16" s="27"/>
      <c r="N16" s="27"/>
      <c r="O16" s="27"/>
      <c r="P16" s="28"/>
      <c r="Q16" s="50" t="str">
        <f>IF(ISBLANK(H16),"",IF(H16=(-1)*R16,"correct","incorrect"))</f>
        <v/>
      </c>
      <c r="R16" s="48">
        <v>4</v>
      </c>
      <c r="S16" s="49" t="str">
        <f>"⁻"&amp;IF(AND(R16&gt;9,R16&lt;100),INDEX(super,LEFT(R16,1)+1,1)&amp;INDEX(super,RIGHT(R16,1)+1,1),INDEX(super,R16+1,1))</f>
        <v>⁻⁴</v>
      </c>
      <c r="T16" s="49">
        <v>10000</v>
      </c>
      <c r="U16" s="28">
        <v>35</v>
      </c>
      <c r="V16" s="28">
        <v>3.5E-4</v>
      </c>
      <c r="W16" s="28"/>
      <c r="X16" s="28">
        <v>2</v>
      </c>
      <c r="Y16" s="28">
        <v>3.5</v>
      </c>
      <c r="Z16" s="50" t="str">
        <f>IF(ISBLANK(E16),"",IF(E16=Y16,"correct","incorrect"))</f>
        <v/>
      </c>
      <c r="AA16" s="28"/>
      <c r="AB16" s="27"/>
    </row>
    <row r="17" spans="1:28" s="2" customFormat="1" ht="28" customHeight="1">
      <c r="A17" s="26"/>
      <c r="B17" s="29"/>
      <c r="C17" s="29"/>
      <c r="D17" s="27"/>
      <c r="E17" s="28"/>
      <c r="F17" s="28"/>
      <c r="G17" s="28"/>
      <c r="H17" s="47"/>
      <c r="I17" s="28"/>
      <c r="J17" s="28"/>
      <c r="K17" s="27"/>
      <c r="L17" s="27"/>
      <c r="M17" s="27"/>
      <c r="N17" s="27"/>
      <c r="O17" s="27"/>
      <c r="P17" s="28"/>
      <c r="Q17" s="48"/>
      <c r="R17" s="48"/>
      <c r="S17" s="49"/>
      <c r="T17" s="49"/>
      <c r="U17" s="28"/>
      <c r="V17" s="28"/>
      <c r="W17" s="28"/>
      <c r="X17" s="28"/>
      <c r="Y17" s="28"/>
      <c r="Z17" s="28"/>
      <c r="AA17" s="28"/>
      <c r="AB17" s="27"/>
    </row>
    <row r="18" spans="1:28" s="2" customFormat="1" ht="28" customHeight="1">
      <c r="A18" s="26"/>
      <c r="B18" s="52">
        <f>B16+1</f>
        <v>8</v>
      </c>
      <c r="C18" s="67">
        <f>V18</f>
        <v>5.7899999999999998E-5</v>
      </c>
      <c r="D18" s="45" t="s">
        <v>1</v>
      </c>
      <c r="E18" s="60"/>
      <c r="F18" s="55" t="s">
        <v>21</v>
      </c>
      <c r="G18" s="55">
        <v>10</v>
      </c>
      <c r="H18" s="54"/>
      <c r="I18" s="28"/>
      <c r="J18" s="28"/>
      <c r="K18" s="27"/>
      <c r="L18" s="27"/>
      <c r="M18" s="27"/>
      <c r="N18" s="27"/>
      <c r="O18" s="27"/>
      <c r="P18" s="28"/>
      <c r="Q18" s="50" t="str">
        <f>IF(ISBLANK(H18),"",IF(H18=(-1)*R18,"correct","incorrect"))</f>
        <v/>
      </c>
      <c r="R18" s="48">
        <v>5</v>
      </c>
      <c r="S18" s="49" t="str">
        <f>"⁻"&amp;IF(AND(R18&gt;9,R18&lt;100),INDEX(super,LEFT(R18,1)+1,1)&amp;INDEX(super,RIGHT(R18,1)+1,1),INDEX(super,R18+1,1))</f>
        <v>⁻⁵</v>
      </c>
      <c r="T18" s="49">
        <v>100000</v>
      </c>
      <c r="U18" s="28">
        <v>579</v>
      </c>
      <c r="V18" s="28">
        <v>5.7899999999999998E-5</v>
      </c>
      <c r="W18" s="28"/>
      <c r="X18" s="28">
        <v>3</v>
      </c>
      <c r="Y18" s="28">
        <v>5.79</v>
      </c>
      <c r="Z18" s="50" t="str">
        <f>IF(ISBLANK(E18),"",IF(E18=Y18,"correct","incorrect"))</f>
        <v/>
      </c>
      <c r="AA18" s="28"/>
      <c r="AB18" s="27"/>
    </row>
    <row r="19" spans="1:28" s="2" customFormat="1" ht="28" customHeight="1">
      <c r="A19" s="26"/>
      <c r="B19" s="29"/>
      <c r="C19" s="29"/>
      <c r="D19" s="27"/>
      <c r="E19" s="28"/>
      <c r="F19" s="28"/>
      <c r="G19" s="28"/>
      <c r="H19" s="47"/>
      <c r="I19" s="28"/>
      <c r="J19" s="28"/>
      <c r="K19" s="27"/>
      <c r="L19" s="27"/>
      <c r="M19" s="27"/>
      <c r="N19" s="27"/>
      <c r="O19" s="27"/>
      <c r="P19" s="28"/>
      <c r="Q19" s="48"/>
      <c r="R19" s="48"/>
      <c r="S19" s="49"/>
      <c r="T19" s="49"/>
      <c r="U19" s="28"/>
      <c r="V19" s="28"/>
      <c r="W19" s="28"/>
      <c r="X19" s="28"/>
      <c r="Y19" s="28"/>
      <c r="Z19" s="28"/>
      <c r="AA19" s="28"/>
      <c r="AB19" s="27"/>
    </row>
    <row r="20" spans="1:28" s="2" customFormat="1" ht="28" customHeight="1">
      <c r="A20" s="26"/>
      <c r="B20" s="52">
        <f>B18+1</f>
        <v>9</v>
      </c>
      <c r="C20" s="67">
        <f>V20</f>
        <v>2.4700000000000004E-4</v>
      </c>
      <c r="D20" s="45" t="s">
        <v>1</v>
      </c>
      <c r="E20" s="60"/>
      <c r="F20" s="55" t="s">
        <v>21</v>
      </c>
      <c r="G20" s="55">
        <v>10</v>
      </c>
      <c r="H20" s="54"/>
      <c r="I20" s="28"/>
      <c r="J20" s="28"/>
      <c r="K20" s="27"/>
      <c r="L20" s="27"/>
      <c r="M20" s="27"/>
      <c r="N20" s="27"/>
      <c r="O20" s="27"/>
      <c r="P20" s="28"/>
      <c r="Q20" s="50" t="str">
        <f>IF(ISBLANK(H20),"",IF(H20=(-1)*R20,"correct","incorrect"))</f>
        <v/>
      </c>
      <c r="R20" s="48">
        <v>4</v>
      </c>
      <c r="S20" s="49" t="str">
        <f>"⁻"&amp;IF(AND(R20&gt;9,R20&lt;100),INDEX(super,LEFT(R20,1)+1,1)&amp;INDEX(super,RIGHT(R20,1)+1,1),INDEX(super,R20+1,1))</f>
        <v>⁻⁴</v>
      </c>
      <c r="T20" s="49">
        <v>10000</v>
      </c>
      <c r="U20" s="28">
        <v>247</v>
      </c>
      <c r="V20" s="28">
        <v>2.4700000000000004E-4</v>
      </c>
      <c r="W20" s="28"/>
      <c r="X20" s="28">
        <v>3</v>
      </c>
      <c r="Y20" s="28">
        <v>2.4700000000000002</v>
      </c>
      <c r="Z20" s="50" t="str">
        <f>IF(ISBLANK(E20),"",IF(E20=Y20,"correct","incorrect"))</f>
        <v/>
      </c>
      <c r="AA20" s="28"/>
      <c r="AB20" s="27"/>
    </row>
    <row r="21" spans="1:28" s="2" customFormat="1" ht="28" customHeight="1">
      <c r="A21" s="26"/>
      <c r="B21" s="29"/>
      <c r="C21" s="29"/>
      <c r="D21" s="27"/>
      <c r="E21" s="28"/>
      <c r="F21" s="28"/>
      <c r="G21" s="28"/>
      <c r="H21" s="47"/>
      <c r="I21" s="28"/>
      <c r="J21" s="28"/>
      <c r="K21" s="27"/>
      <c r="L21" s="27"/>
      <c r="M21" s="27"/>
      <c r="N21" s="27"/>
      <c r="O21" s="27"/>
      <c r="P21" s="28"/>
      <c r="Q21" s="48"/>
      <c r="R21" s="48"/>
      <c r="S21" s="49"/>
      <c r="T21" s="49"/>
      <c r="U21" s="28"/>
      <c r="V21" s="28"/>
      <c r="W21" s="28"/>
      <c r="X21" s="28"/>
      <c r="Y21" s="28"/>
      <c r="Z21" s="28"/>
      <c r="AA21" s="28"/>
      <c r="AB21" s="27"/>
    </row>
    <row r="22" spans="1:28" s="2" customFormat="1" ht="28" customHeight="1">
      <c r="A22" s="26"/>
      <c r="B22" s="52">
        <f>B20+1</f>
        <v>10</v>
      </c>
      <c r="C22" s="67">
        <f>V22</f>
        <v>7.1200000000000005E-3</v>
      </c>
      <c r="D22" s="45" t="s">
        <v>1</v>
      </c>
      <c r="E22" s="60"/>
      <c r="F22" s="55" t="s">
        <v>21</v>
      </c>
      <c r="G22" s="55">
        <v>10</v>
      </c>
      <c r="H22" s="54"/>
      <c r="I22" s="28"/>
      <c r="J22" s="28"/>
      <c r="K22" s="27"/>
      <c r="L22" s="27"/>
      <c r="M22" s="27"/>
      <c r="N22" s="27"/>
      <c r="O22" s="27"/>
      <c r="P22" s="28"/>
      <c r="Q22" s="50" t="str">
        <f>IF(ISBLANK(H22),"",IF(H22=(-1)*R22,"correct","incorrect"))</f>
        <v/>
      </c>
      <c r="R22" s="48">
        <v>3</v>
      </c>
      <c r="S22" s="49" t="str">
        <f>"⁻"&amp;IF(AND(R22&gt;9,R22&lt;100),INDEX(super,LEFT(R22,1)+1,1)&amp;INDEX(super,RIGHT(R22,1)+1,1),INDEX(super,R22+1,1))</f>
        <v>⁻³</v>
      </c>
      <c r="T22" s="49">
        <v>1000</v>
      </c>
      <c r="U22" s="28">
        <v>712</v>
      </c>
      <c r="V22" s="28">
        <v>7.1200000000000005E-3</v>
      </c>
      <c r="W22" s="28"/>
      <c r="X22" s="28">
        <v>3</v>
      </c>
      <c r="Y22" s="28">
        <v>7.12</v>
      </c>
      <c r="Z22" s="50" t="str">
        <f>IF(ISBLANK(E22),"",IF(E22=Y22,"correct","incorrect"))</f>
        <v/>
      </c>
      <c r="AA22" s="28"/>
      <c r="AB22" s="27"/>
    </row>
    <row r="23" spans="1:28" s="2" customFormat="1" ht="28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s="2" customFormat="1" ht="28" customHeight="1">
      <c r="A24" s="26"/>
      <c r="B24" s="29"/>
      <c r="C24" s="29"/>
      <c r="D24" s="27"/>
      <c r="E24" s="28"/>
      <c r="F24" s="28"/>
      <c r="G24" s="28"/>
      <c r="H24" s="47"/>
      <c r="I24" s="28"/>
      <c r="J24" s="28"/>
      <c r="K24" s="27"/>
      <c r="L24" s="27"/>
      <c r="M24" s="27"/>
      <c r="N24" s="27"/>
      <c r="O24" s="27"/>
      <c r="P24" s="28"/>
      <c r="Q24" s="27"/>
      <c r="R24" s="27"/>
      <c r="S24" s="28"/>
      <c r="T24" s="28"/>
      <c r="U24" s="28"/>
      <c r="V24" s="28"/>
      <c r="W24" s="28"/>
      <c r="X24" s="28"/>
      <c r="Y24" s="28"/>
      <c r="Z24" s="28"/>
      <c r="AA24" s="28"/>
      <c r="AB24" s="27"/>
    </row>
    <row r="25" spans="1:28" s="40" customFormat="1" hidden="1">
      <c r="A25" s="39"/>
      <c r="E25" s="41"/>
      <c r="F25" s="41"/>
      <c r="G25" s="41"/>
      <c r="H25" s="63"/>
      <c r="I25" s="41"/>
      <c r="J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8" customFormat="1" ht="28" hidden="1" customHeight="1">
      <c r="H26" s="64"/>
    </row>
    <row r="27" spans="1:28" s="2" customFormat="1" ht="28" hidden="1" customHeight="1">
      <c r="A27" s="26"/>
      <c r="B27" s="52">
        <f>B25+1</f>
        <v>1</v>
      </c>
      <c r="C27" s="59">
        <f ca="1">V27</f>
        <v>2.64E-3</v>
      </c>
      <c r="D27" s="45" t="s">
        <v>1</v>
      </c>
      <c r="E27" s="56">
        <v>4</v>
      </c>
      <c r="F27" s="55" t="s">
        <v>21</v>
      </c>
      <c r="G27" s="55">
        <v>10</v>
      </c>
      <c r="H27" s="54">
        <v>2</v>
      </c>
      <c r="I27" s="28"/>
      <c r="J27" s="28"/>
      <c r="K27" s="27"/>
      <c r="L27" s="27"/>
      <c r="M27" s="27"/>
      <c r="N27" s="27"/>
      <c r="O27" s="27"/>
      <c r="P27" s="28"/>
      <c r="Q27" s="50" t="str">
        <f ca="1">IF(ISBLANK(H27),"",IF(H27=R27,"correct","incorrect"))</f>
        <v>incorrect</v>
      </c>
      <c r="R27" s="48">
        <f ca="1">RANDBETWEEN(3,6)</f>
        <v>3</v>
      </c>
      <c r="S27" s="49" t="str">
        <f ca="1">"⁻"&amp;IF(AND(R27&gt;9,R27&lt;100),INDEX(super,LEFT(R27,1)+1,1)&amp;INDEX(super,RIGHT(R27,1)+1,1),INDEX(super,R27+1,1))</f>
        <v>⁻³</v>
      </c>
      <c r="T27" s="49">
        <f ca="1">10^R27</f>
        <v>1000</v>
      </c>
      <c r="U27" s="28">
        <f ca="1">FLOOR(RAND()*(10^(X27)),1)</f>
        <v>264</v>
      </c>
      <c r="V27" s="28">
        <f ca="1">Y27/T27</f>
        <v>2.64E-3</v>
      </c>
      <c r="W27" s="28"/>
      <c r="X27" s="28">
        <f ca="1">RANDBETWEEN(2,3)</f>
        <v>3</v>
      </c>
      <c r="Y27" s="28">
        <f ca="1">U27/10^(X27-1)</f>
        <v>2.64</v>
      </c>
      <c r="Z27" s="50" t="str">
        <f ca="1">IF(ISBLANK(E27),"",IF(E27=Y27,"correct","incorrect"))</f>
        <v>incorrect</v>
      </c>
      <c r="AA27" s="28"/>
      <c r="AB27" s="27"/>
    </row>
    <row r="28" spans="1:28" hidden="1"/>
    <row r="29" spans="1:28" hidden="1"/>
    <row r="30" spans="1:28" hidden="1"/>
    <row r="31" spans="1:28" hidden="1"/>
    <row r="32" spans="1:2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</sheetData>
  <sheetProtection sheet="1" objects="1" scenarios="1" selectLockedCells="1"/>
  <phoneticPr fontId="54" type="noConversion"/>
  <conditionalFormatting sqref="P1">
    <cfRule type="cellIs" dxfId="110" priority="55" stopIfTrue="1" operator="lessThan">
      <formula>1</formula>
    </cfRule>
    <cfRule type="cellIs" dxfId="109" priority="56" stopIfTrue="1" operator="equal">
      <formula>1</formula>
    </cfRule>
  </conditionalFormatting>
  <conditionalFormatting sqref="H12">
    <cfRule type="expression" dxfId="108" priority="52">
      <formula>ISBLANK(H12)</formula>
    </cfRule>
    <cfRule type="expression" dxfId="107" priority="53">
      <formula>Q12="correct"</formula>
    </cfRule>
    <cfRule type="expression" dxfId="106" priority="54">
      <formula>Q12="incorrect"</formula>
    </cfRule>
  </conditionalFormatting>
  <conditionalFormatting sqref="E12">
    <cfRule type="expression" dxfId="105" priority="57">
      <formula>ISBLANK(E12)</formula>
    </cfRule>
    <cfRule type="expression" dxfId="104" priority="58">
      <formula>Z12="correct"</formula>
    </cfRule>
    <cfRule type="expression" dxfId="103" priority="59">
      <formula>Z12="incorrect"</formula>
    </cfRule>
  </conditionalFormatting>
  <conditionalFormatting sqref="H14">
    <cfRule type="expression" dxfId="102" priority="49">
      <formula>ISBLANK(H14)</formula>
    </cfRule>
    <cfRule type="expression" dxfId="101" priority="50">
      <formula>Q14="correct"</formula>
    </cfRule>
    <cfRule type="expression" dxfId="100" priority="51">
      <formula>Q14="incorrect"</formula>
    </cfRule>
  </conditionalFormatting>
  <conditionalFormatting sqref="H16">
    <cfRule type="expression" dxfId="99" priority="46">
      <formula>ISBLANK(H16)</formula>
    </cfRule>
    <cfRule type="expression" dxfId="98" priority="47">
      <formula>Q16="correct"</formula>
    </cfRule>
    <cfRule type="expression" dxfId="97" priority="48">
      <formula>Q16="incorrect"</formula>
    </cfRule>
  </conditionalFormatting>
  <conditionalFormatting sqref="E27">
    <cfRule type="expression" dxfId="96" priority="34">
      <formula>ISBLANK(E27)</formula>
    </cfRule>
    <cfRule type="expression" dxfId="95" priority="35">
      <formula>Z27="correct"</formula>
    </cfRule>
    <cfRule type="expression" dxfId="94" priority="36">
      <formula>Z27="incorrect"</formula>
    </cfRule>
  </conditionalFormatting>
  <conditionalFormatting sqref="H18">
    <cfRule type="expression" dxfId="93" priority="43">
      <formula>ISBLANK(H18)</formula>
    </cfRule>
    <cfRule type="expression" dxfId="92" priority="44">
      <formula>Q18="correct"</formula>
    </cfRule>
    <cfRule type="expression" dxfId="91" priority="45">
      <formula>Q18="incorrect"</formula>
    </cfRule>
  </conditionalFormatting>
  <conditionalFormatting sqref="E16">
    <cfRule type="expression" dxfId="90" priority="25">
      <formula>ISBLANK(E16)</formula>
    </cfRule>
    <cfRule type="expression" dxfId="89" priority="26">
      <formula>Z16="correct"</formula>
    </cfRule>
    <cfRule type="expression" dxfId="88" priority="27">
      <formula>Z16="incorrect"</formula>
    </cfRule>
  </conditionalFormatting>
  <conditionalFormatting sqref="H20">
    <cfRule type="expression" dxfId="87" priority="40">
      <formula>ISBLANK(H20)</formula>
    </cfRule>
    <cfRule type="expression" dxfId="86" priority="41">
      <formula>Q20="correct"</formula>
    </cfRule>
    <cfRule type="expression" dxfId="85" priority="42">
      <formula>Q20="incorrect"</formula>
    </cfRule>
  </conditionalFormatting>
  <conditionalFormatting sqref="E14">
    <cfRule type="expression" dxfId="84" priority="28">
      <formula>ISBLANK(E14)</formula>
    </cfRule>
    <cfRule type="expression" dxfId="83" priority="29">
      <formula>Z14="correct"</formula>
    </cfRule>
    <cfRule type="expression" dxfId="82" priority="30">
      <formula>Z14="incorrect"</formula>
    </cfRule>
  </conditionalFormatting>
  <conditionalFormatting sqref="H22">
    <cfRule type="expression" dxfId="81" priority="37">
      <formula>ISBLANK(H22)</formula>
    </cfRule>
    <cfRule type="expression" dxfId="80" priority="38">
      <formula>Q22="correct"</formula>
    </cfRule>
    <cfRule type="expression" dxfId="79" priority="39">
      <formula>Q22="incorrect"</formula>
    </cfRule>
  </conditionalFormatting>
  <conditionalFormatting sqref="H27">
    <cfRule type="expression" dxfId="78" priority="31">
      <formula>ISBLANK(H27)</formula>
    </cfRule>
    <cfRule type="expression" dxfId="77" priority="32">
      <formula>Q27="correct"</formula>
    </cfRule>
    <cfRule type="expression" dxfId="76" priority="33">
      <formula>Q27="incorrect"</formula>
    </cfRule>
  </conditionalFormatting>
  <conditionalFormatting sqref="E18">
    <cfRule type="expression" dxfId="75" priority="22">
      <formula>ISBLANK(E18)</formula>
    </cfRule>
    <cfRule type="expression" dxfId="74" priority="23">
      <formula>Z18="correct"</formula>
    </cfRule>
    <cfRule type="expression" dxfId="73" priority="24">
      <formula>Z18="incorrect"</formula>
    </cfRule>
  </conditionalFormatting>
  <conditionalFormatting sqref="E20">
    <cfRule type="expression" dxfId="72" priority="19">
      <formula>ISBLANK(E20)</formula>
    </cfRule>
    <cfRule type="expression" dxfId="71" priority="20">
      <formula>Z20="correct"</formula>
    </cfRule>
    <cfRule type="expression" dxfId="70" priority="21">
      <formula>Z20="incorrect"</formula>
    </cfRule>
  </conditionalFormatting>
  <conditionalFormatting sqref="E22">
    <cfRule type="expression" dxfId="69" priority="16">
      <formula>ISBLANK(E22)</formula>
    </cfRule>
    <cfRule type="expression" dxfId="68" priority="17">
      <formula>Z22="correct"</formula>
    </cfRule>
    <cfRule type="expression" dxfId="67" priority="18">
      <formula>Z22="incorrect"</formula>
    </cfRule>
  </conditionalFormatting>
  <conditionalFormatting sqref="H8">
    <cfRule type="expression" dxfId="66" priority="13">
      <formula>ISBLANK(H8)</formula>
    </cfRule>
    <cfRule type="expression" dxfId="65" priority="14">
      <formula>Q8="correct"</formula>
    </cfRule>
    <cfRule type="expression" dxfId="64" priority="15">
      <formula>Q8="incorrect"</formula>
    </cfRule>
  </conditionalFormatting>
  <conditionalFormatting sqref="H10">
    <cfRule type="expression" dxfId="63" priority="10">
      <formula>ISBLANK(H10)</formula>
    </cfRule>
    <cfRule type="expression" dxfId="62" priority="11">
      <formula>Q10="correct"</formula>
    </cfRule>
    <cfRule type="expression" dxfId="61" priority="12">
      <formula>Q10="incorrect"</formula>
    </cfRule>
  </conditionalFormatting>
  <conditionalFormatting sqref="E4">
    <cfRule type="expression" dxfId="60" priority="7">
      <formula>ISBLANK(E4)</formula>
    </cfRule>
    <cfRule type="expression" dxfId="59" priority="8">
      <formula>Z4="correct"</formula>
    </cfRule>
    <cfRule type="expression" dxfId="58" priority="9">
      <formula>Z4="incorrect"</formula>
    </cfRule>
  </conditionalFormatting>
  <conditionalFormatting sqref="E6">
    <cfRule type="expression" dxfId="57" priority="4">
      <formula>ISBLANK(E6)</formula>
    </cfRule>
    <cfRule type="expression" dxfId="56" priority="5">
      <formula>Z6="correct"</formula>
    </cfRule>
    <cfRule type="expression" dxfId="55" priority="6">
      <formula>Z6="incorrect"</formula>
    </cfRule>
  </conditionalFormatting>
  <conditionalFormatting sqref="E8">
    <cfRule type="expression" dxfId="54" priority="1">
      <formula>ISBLANK(E8)</formula>
    </cfRule>
    <cfRule type="expression" dxfId="53" priority="2">
      <formula>Z8="correct"</formula>
    </cfRule>
    <cfRule type="expression" dxfId="52" priority="3">
      <formula>Z8="incorrect"</formula>
    </cfRule>
  </conditionalFormatting>
  <hyperlinks>
    <hyperlink ref="AB1" location="'Scientific Notation Part 4'!A1" display="Next"/>
    <hyperlink ref="B1" location="'Scientific Notation Part 2'!A1" display="Previous"/>
  </hyperlinks>
  <pageMargins left="0.59055118110236227" right="0.59055118110236227" top="0.39370078740157483" bottom="0.39370078740157483" header="0.51181102362204722" footer="0.51181102362204722"/>
  <pageSetup paperSize="9" scale="60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87"/>
  <sheetViews>
    <sheetView showRowColHeaders="0" workbookViewId="0">
      <pane ySplit="2" topLeftCell="A3" activePane="bottomLeft" state="frozen"/>
      <selection activeCell="C5" sqref="C5:H13"/>
      <selection pane="bottomLeft" activeCell="E4" sqref="E4"/>
    </sheetView>
  </sheetViews>
  <sheetFormatPr baseColWidth="10" defaultColWidth="0" defaultRowHeight="18" customHeight="1" zeroHeight="1" x14ac:dyDescent="0"/>
  <cols>
    <col min="1" max="1" width="4.6640625" style="39" customWidth="1"/>
    <col min="2" max="2" width="11.6640625" style="40" customWidth="1"/>
    <col min="3" max="3" width="23.6640625" style="40" customWidth="1"/>
    <col min="4" max="4" width="4.6640625" style="40" customWidth="1"/>
    <col min="5" max="5" width="24.6640625" style="42" customWidth="1"/>
    <col min="6" max="6" width="4.6640625" style="42" customWidth="1"/>
    <col min="7" max="7" width="5.6640625" style="42" customWidth="1"/>
    <col min="8" max="8" width="4.6640625" style="65" customWidth="1"/>
    <col min="9" max="10" width="4.6640625" style="41" customWidth="1"/>
    <col min="11" max="15" width="4.6640625" style="40" customWidth="1"/>
    <col min="16" max="16" width="14.1640625" style="41" customWidth="1"/>
    <col min="17" max="17" width="13.1640625" style="40" hidden="1" customWidth="1"/>
    <col min="18" max="18" width="4.83203125" style="40" hidden="1" customWidth="1"/>
    <col min="19" max="19" width="3" style="41" hidden="1" customWidth="1"/>
    <col min="20" max="20" width="15.1640625" style="41" hidden="1" customWidth="1"/>
    <col min="21" max="21" width="13" style="41" hidden="1" customWidth="1"/>
    <col min="22" max="22" width="15.1640625" style="41" hidden="1" customWidth="1"/>
    <col min="23" max="24" width="4.6640625" style="41" hidden="1" customWidth="1"/>
    <col min="25" max="25" width="9.83203125" style="41" hidden="1" customWidth="1"/>
    <col min="26" max="26" width="4.6640625" style="41" hidden="1" customWidth="1"/>
    <col min="27" max="27" width="4.6640625" style="41" customWidth="1"/>
    <col min="28" max="28" width="11.5" style="40" customWidth="1"/>
    <col min="29" max="16384" width="11.5" style="1" hidden="1"/>
  </cols>
  <sheetData>
    <row r="1" spans="1:28" s="2" customFormat="1" ht="43" customHeight="1">
      <c r="A1" s="30"/>
      <c r="B1" s="70" t="s">
        <v>4</v>
      </c>
      <c r="C1" s="79"/>
      <c r="D1" s="32" t="str">
        <f ca="1">MID(CELL("filename",A1),FIND("]",CELL("filename",A1))+1,256)</f>
        <v>Scientific Notation Part 4</v>
      </c>
      <c r="E1" s="33"/>
      <c r="F1" s="33"/>
      <c r="G1" s="33"/>
      <c r="H1" s="61"/>
      <c r="I1" s="34"/>
      <c r="J1" s="34"/>
      <c r="K1" s="35"/>
      <c r="L1" s="36"/>
      <c r="M1" s="36"/>
      <c r="N1" s="36"/>
      <c r="O1" s="30" t="s">
        <v>0</v>
      </c>
      <c r="P1" s="37">
        <f>(COUNTIF(Q1:Q26,"Correct")+COUNTIF(Z1:Z26,"Correct"))/(COUNTA(Q1:Q26)+COUNTA(Z1:Z26))</f>
        <v>0</v>
      </c>
      <c r="Q1" s="68"/>
      <c r="R1" s="68"/>
      <c r="S1" s="69"/>
      <c r="T1" s="69"/>
      <c r="U1" s="69"/>
      <c r="V1" s="69"/>
      <c r="W1" s="69"/>
      <c r="X1" s="69"/>
      <c r="Y1" s="69"/>
      <c r="Z1" s="69"/>
      <c r="AA1" s="38"/>
      <c r="AB1" s="70" t="s">
        <v>3</v>
      </c>
    </row>
    <row r="2" spans="1:28" s="2" customFormat="1" ht="28" customHeight="1">
      <c r="A2" s="30"/>
      <c r="B2" s="43"/>
      <c r="C2" s="43" t="s">
        <v>25</v>
      </c>
      <c r="D2" s="36"/>
      <c r="E2" s="38"/>
      <c r="F2" s="38"/>
      <c r="G2" s="38"/>
      <c r="H2" s="62"/>
      <c r="I2" s="38"/>
      <c r="J2" s="38"/>
      <c r="K2" s="36"/>
      <c r="L2" s="36"/>
      <c r="M2" s="36"/>
      <c r="N2" s="36"/>
      <c r="O2" s="36"/>
      <c r="P2" s="38"/>
      <c r="Q2" s="68"/>
      <c r="R2" s="68"/>
      <c r="S2" s="69"/>
      <c r="T2" s="69"/>
      <c r="U2" s="69"/>
      <c r="V2" s="69"/>
      <c r="W2" s="69"/>
      <c r="X2" s="69"/>
      <c r="Y2" s="69"/>
      <c r="Z2" s="69"/>
      <c r="AA2" s="38"/>
      <c r="AB2" s="36"/>
    </row>
    <row r="3" spans="1:28" s="2" customFormat="1" ht="28" customHeight="1">
      <c r="A3" s="26"/>
      <c r="B3" s="29"/>
      <c r="C3" s="29"/>
      <c r="D3" s="27"/>
      <c r="E3" s="28"/>
      <c r="F3" s="28"/>
      <c r="G3" s="28"/>
      <c r="H3" s="47"/>
      <c r="I3" s="28"/>
      <c r="J3" s="28"/>
      <c r="K3" s="27"/>
      <c r="L3" s="27"/>
      <c r="M3" s="27"/>
      <c r="N3" s="27"/>
      <c r="O3" s="27"/>
      <c r="P3" s="28"/>
      <c r="Q3" s="27"/>
      <c r="R3" s="27"/>
      <c r="S3" s="28"/>
      <c r="T3" s="28"/>
      <c r="U3" s="28"/>
      <c r="V3" s="28"/>
      <c r="W3" s="28"/>
      <c r="X3" s="28"/>
      <c r="Y3" s="28"/>
      <c r="Z3" s="28"/>
      <c r="AA3" s="28"/>
      <c r="AB3" s="27"/>
    </row>
    <row r="4" spans="1:28" s="2" customFormat="1" ht="28" customHeight="1">
      <c r="A4" s="26"/>
      <c r="B4" s="52">
        <f>B2+1</f>
        <v>1</v>
      </c>
      <c r="C4" s="59" t="str">
        <f>Y4&amp;" × "&amp;10&amp;S4</f>
        <v>9.5 × 10⁻⁴</v>
      </c>
      <c r="D4" s="45" t="s">
        <v>1</v>
      </c>
      <c r="E4" s="71"/>
      <c r="F4" s="55"/>
      <c r="G4" s="55"/>
      <c r="H4" s="76"/>
      <c r="I4" s="28"/>
      <c r="J4" s="28"/>
      <c r="K4" s="27"/>
      <c r="L4" s="27"/>
      <c r="M4" s="27"/>
      <c r="N4" s="27"/>
      <c r="O4" s="27"/>
      <c r="P4" s="28"/>
      <c r="Q4" s="50"/>
      <c r="R4" s="48">
        <v>4</v>
      </c>
      <c r="S4" s="49" t="s">
        <v>26</v>
      </c>
      <c r="T4" s="49">
        <v>10000</v>
      </c>
      <c r="U4" s="28">
        <v>950</v>
      </c>
      <c r="V4" s="28">
        <v>9.5E-4</v>
      </c>
      <c r="W4" s="28"/>
      <c r="X4" s="28">
        <v>3</v>
      </c>
      <c r="Y4" s="28">
        <v>9.5</v>
      </c>
      <c r="Z4" s="50" t="str">
        <f>IF(ISBLANK(E4),"",IF(E4=V4,"correct","incorrect"))</f>
        <v/>
      </c>
      <c r="AA4" s="28"/>
      <c r="AB4" s="27"/>
    </row>
    <row r="5" spans="1:28" s="2" customFormat="1" ht="28" customHeight="1">
      <c r="A5" s="26"/>
      <c r="B5" s="29"/>
      <c r="C5" s="29"/>
      <c r="D5" s="27"/>
      <c r="E5" s="28"/>
      <c r="F5" s="28"/>
      <c r="G5" s="28"/>
      <c r="H5" s="78"/>
      <c r="I5" s="28"/>
      <c r="J5" s="28"/>
      <c r="K5" s="27"/>
      <c r="L5" s="27"/>
      <c r="M5" s="27"/>
      <c r="N5" s="27"/>
      <c r="O5" s="27"/>
      <c r="P5" s="28"/>
      <c r="Q5" s="27"/>
      <c r="R5" s="27"/>
      <c r="S5" s="28"/>
      <c r="T5" s="28"/>
      <c r="U5" s="28"/>
      <c r="V5" s="28"/>
      <c r="W5" s="28"/>
      <c r="X5" s="28"/>
      <c r="Y5" s="28"/>
      <c r="Z5" s="28"/>
      <c r="AA5" s="28"/>
      <c r="AB5" s="27"/>
    </row>
    <row r="6" spans="1:28" s="2" customFormat="1" ht="28" customHeight="1">
      <c r="A6" s="26"/>
      <c r="B6" s="52">
        <f>B4+1</f>
        <v>2</v>
      </c>
      <c r="C6" s="59" t="str">
        <f>Y6&amp;" × "&amp;10&amp;S6</f>
        <v>7.6 × 10⁻⁵</v>
      </c>
      <c r="D6" s="45" t="s">
        <v>1</v>
      </c>
      <c r="E6" s="71"/>
      <c r="F6" s="55"/>
      <c r="G6" s="55"/>
      <c r="H6" s="76"/>
      <c r="I6" s="28"/>
      <c r="J6" s="28"/>
      <c r="K6" s="27"/>
      <c r="L6" s="27"/>
      <c r="M6" s="27"/>
      <c r="N6" s="27"/>
      <c r="O6" s="27"/>
      <c r="P6" s="28"/>
      <c r="Q6" s="50"/>
      <c r="R6" s="48">
        <v>5</v>
      </c>
      <c r="S6" s="49" t="s">
        <v>28</v>
      </c>
      <c r="T6" s="49">
        <v>100000</v>
      </c>
      <c r="U6" s="28">
        <v>76</v>
      </c>
      <c r="V6" s="28">
        <v>7.5999999999999991E-5</v>
      </c>
      <c r="W6" s="28"/>
      <c r="X6" s="28">
        <v>2</v>
      </c>
      <c r="Y6" s="28">
        <v>7.6</v>
      </c>
      <c r="Z6" s="50" t="str">
        <f>IF(ISBLANK(E6),"",IF(E6=V6,"correct","incorrect"))</f>
        <v/>
      </c>
      <c r="AA6" s="28"/>
      <c r="AB6" s="27"/>
    </row>
    <row r="7" spans="1:28" s="2" customFormat="1" ht="28" customHeight="1">
      <c r="A7" s="26"/>
      <c r="B7" s="29"/>
      <c r="C7" s="29"/>
      <c r="D7" s="27"/>
      <c r="E7" s="28"/>
      <c r="F7" s="28"/>
      <c r="G7" s="28"/>
      <c r="H7" s="78"/>
      <c r="I7" s="28"/>
      <c r="J7" s="28"/>
      <c r="K7" s="27"/>
      <c r="L7" s="27"/>
      <c r="M7" s="27"/>
      <c r="N7" s="27"/>
      <c r="O7" s="27"/>
      <c r="P7" s="28"/>
      <c r="Q7" s="27"/>
      <c r="R7" s="27"/>
      <c r="S7" s="28"/>
      <c r="T7" s="28"/>
      <c r="U7" s="28"/>
      <c r="V7" s="28"/>
      <c r="W7" s="28"/>
      <c r="X7" s="28"/>
      <c r="Y7" s="28"/>
      <c r="Z7" s="28"/>
      <c r="AA7" s="28"/>
      <c r="AB7" s="27"/>
    </row>
    <row r="8" spans="1:28" s="2" customFormat="1" ht="28" customHeight="1">
      <c r="A8" s="26"/>
      <c r="B8" s="52">
        <f>B6+1</f>
        <v>3</v>
      </c>
      <c r="C8" s="59" t="str">
        <f>Y8&amp;" × "&amp;10&amp;S8</f>
        <v>9.8 × 10⁻³</v>
      </c>
      <c r="D8" s="45" t="s">
        <v>1</v>
      </c>
      <c r="E8" s="71"/>
      <c r="F8" s="55"/>
      <c r="G8" s="55"/>
      <c r="H8" s="76"/>
      <c r="I8" s="28"/>
      <c r="J8" s="28"/>
      <c r="K8" s="27"/>
      <c r="L8" s="27"/>
      <c r="M8" s="27"/>
      <c r="N8" s="27"/>
      <c r="O8" s="27"/>
      <c r="P8" s="28"/>
      <c r="Q8" s="50"/>
      <c r="R8" s="48">
        <v>3</v>
      </c>
      <c r="S8" s="49" t="s">
        <v>29</v>
      </c>
      <c r="T8" s="49">
        <v>1000</v>
      </c>
      <c r="U8" s="28">
        <v>98</v>
      </c>
      <c r="V8" s="28">
        <v>9.8000000000000014E-3</v>
      </c>
      <c r="W8" s="28"/>
      <c r="X8" s="28">
        <v>2</v>
      </c>
      <c r="Y8" s="28">
        <v>9.8000000000000007</v>
      </c>
      <c r="Z8" s="50" t="str">
        <f>IF(ISBLANK(E8),"",IF(E8=V8,"correct","incorrect"))</f>
        <v/>
      </c>
      <c r="AA8" s="28"/>
      <c r="AB8" s="27"/>
    </row>
    <row r="9" spans="1:28" s="2" customFormat="1" ht="28" customHeight="1">
      <c r="A9" s="26"/>
      <c r="B9" s="29"/>
      <c r="C9" s="29"/>
      <c r="D9" s="27"/>
      <c r="E9" s="28"/>
      <c r="F9" s="28"/>
      <c r="G9" s="28"/>
      <c r="H9" s="78"/>
      <c r="I9" s="28"/>
      <c r="J9" s="28"/>
      <c r="K9" s="27"/>
      <c r="L9" s="27"/>
      <c r="M9" s="27"/>
      <c r="N9" s="27"/>
      <c r="O9" s="27"/>
      <c r="P9" s="28"/>
      <c r="Q9" s="27"/>
      <c r="R9" s="27"/>
      <c r="S9" s="28"/>
      <c r="T9" s="28"/>
      <c r="U9" s="28"/>
      <c r="V9" s="28"/>
      <c r="W9" s="28"/>
      <c r="X9" s="28"/>
      <c r="Y9" s="28"/>
      <c r="Z9" s="28"/>
      <c r="AA9" s="28"/>
      <c r="AB9" s="27"/>
    </row>
    <row r="10" spans="1:28" s="2" customFormat="1" ht="28" customHeight="1">
      <c r="A10" s="26"/>
      <c r="B10" s="52">
        <f>B8+1</f>
        <v>4</v>
      </c>
      <c r="C10" s="59" t="str">
        <f>Y10&amp;" × "&amp;10&amp;S10</f>
        <v>2.86 × 10⁻⁵</v>
      </c>
      <c r="D10" s="45" t="s">
        <v>1</v>
      </c>
      <c r="E10" s="71"/>
      <c r="F10" s="55"/>
      <c r="G10" s="55"/>
      <c r="H10" s="76"/>
      <c r="I10" s="28"/>
      <c r="J10" s="28"/>
      <c r="K10" s="27"/>
      <c r="L10" s="27"/>
      <c r="M10" s="27"/>
      <c r="N10" s="27"/>
      <c r="O10" s="27"/>
      <c r="P10" s="28"/>
      <c r="Q10" s="50"/>
      <c r="R10" s="48">
        <v>5</v>
      </c>
      <c r="S10" s="49" t="s">
        <v>28</v>
      </c>
      <c r="T10" s="49">
        <v>100000</v>
      </c>
      <c r="U10" s="28">
        <v>286</v>
      </c>
      <c r="V10" s="28">
        <v>2.8599999999999997E-5</v>
      </c>
      <c r="W10" s="28"/>
      <c r="X10" s="28">
        <v>3</v>
      </c>
      <c r="Y10" s="28">
        <v>2.86</v>
      </c>
      <c r="Z10" s="50" t="str">
        <f>IF(ISBLANK(E10),"",IF(E10=V10,"correct","incorrect"))</f>
        <v/>
      </c>
      <c r="AA10" s="28"/>
      <c r="AB10" s="27"/>
    </row>
    <row r="11" spans="1:28" s="2" customFormat="1" ht="28" customHeight="1">
      <c r="A11" s="26"/>
      <c r="B11" s="29"/>
      <c r="C11" s="29"/>
      <c r="D11" s="27"/>
      <c r="E11" s="28"/>
      <c r="F11" s="28"/>
      <c r="G11" s="28"/>
      <c r="H11" s="78"/>
      <c r="I11" s="28"/>
      <c r="J11" s="28"/>
      <c r="K11" s="27"/>
      <c r="L11" s="27"/>
      <c r="M11" s="27"/>
      <c r="N11" s="27"/>
      <c r="O11" s="27"/>
      <c r="P11" s="28"/>
      <c r="Q11" s="27"/>
      <c r="R11" s="27"/>
      <c r="S11" s="28"/>
      <c r="T11" s="28"/>
      <c r="U11" s="28"/>
      <c r="V11" s="28"/>
      <c r="W11" s="28"/>
      <c r="X11" s="28"/>
      <c r="Y11" s="28"/>
      <c r="Z11" s="28"/>
      <c r="AA11" s="28"/>
      <c r="AB11" s="27"/>
    </row>
    <row r="12" spans="1:28" s="2" customFormat="1" ht="28" customHeight="1">
      <c r="A12" s="26"/>
      <c r="B12" s="52">
        <f>B10+1</f>
        <v>5</v>
      </c>
      <c r="C12" s="59" t="str">
        <f>Y12&amp;" × "&amp;10&amp;S12</f>
        <v>1.6 × 10⁻⁴</v>
      </c>
      <c r="D12" s="45" t="s">
        <v>1</v>
      </c>
      <c r="E12" s="71"/>
      <c r="F12" s="55"/>
      <c r="G12" s="55"/>
      <c r="H12" s="76"/>
      <c r="I12" s="28"/>
      <c r="J12" s="28"/>
      <c r="K12" s="27"/>
      <c r="L12" s="27"/>
      <c r="M12" s="27"/>
      <c r="N12" s="27"/>
      <c r="O12" s="27"/>
      <c r="P12" s="28"/>
      <c r="Q12" s="50"/>
      <c r="R12" s="48">
        <v>4</v>
      </c>
      <c r="S12" s="49" t="s">
        <v>26</v>
      </c>
      <c r="T12" s="49">
        <v>10000</v>
      </c>
      <c r="U12" s="28">
        <v>16</v>
      </c>
      <c r="V12" s="28">
        <v>1.6000000000000001E-4</v>
      </c>
      <c r="W12" s="28"/>
      <c r="X12" s="28">
        <v>2</v>
      </c>
      <c r="Y12" s="28">
        <v>1.6</v>
      </c>
      <c r="Z12" s="50" t="str">
        <f>IF(ISBLANK(E12),"",IF(E12=V12,"correct","incorrect"))</f>
        <v/>
      </c>
      <c r="AA12" s="28"/>
      <c r="AB12" s="27"/>
    </row>
    <row r="13" spans="1:28" s="2" customFormat="1" ht="28" customHeight="1">
      <c r="A13" s="26"/>
      <c r="B13" s="29"/>
      <c r="C13" s="29"/>
      <c r="D13" s="27"/>
      <c r="E13" s="28"/>
      <c r="F13" s="28"/>
      <c r="G13" s="28"/>
      <c r="H13" s="78"/>
      <c r="I13" s="28"/>
      <c r="J13" s="28"/>
      <c r="K13" s="27"/>
      <c r="L13" s="27"/>
      <c r="M13" s="27"/>
      <c r="N13" s="27"/>
      <c r="O13" s="27"/>
      <c r="P13" s="28"/>
      <c r="Q13" s="48"/>
      <c r="R13" s="48"/>
      <c r="S13" s="49"/>
      <c r="T13" s="49"/>
      <c r="U13" s="28"/>
      <c r="V13" s="28"/>
      <c r="W13" s="28"/>
      <c r="X13" s="28"/>
      <c r="Y13" s="28"/>
      <c r="Z13" s="28"/>
      <c r="AA13" s="28"/>
      <c r="AB13" s="27"/>
    </row>
    <row r="14" spans="1:28" s="2" customFormat="1" ht="28" customHeight="1">
      <c r="A14" s="26"/>
      <c r="B14" s="52">
        <f>B12+1</f>
        <v>6</v>
      </c>
      <c r="C14" s="59" t="str">
        <f>Y14&amp;" × "&amp;10&amp;S14</f>
        <v>7.67 × 10⁻³</v>
      </c>
      <c r="D14" s="45" t="s">
        <v>1</v>
      </c>
      <c r="E14" s="71"/>
      <c r="F14" s="55"/>
      <c r="G14" s="55"/>
      <c r="H14" s="76"/>
      <c r="I14" s="28"/>
      <c r="J14" s="28"/>
      <c r="K14" s="27"/>
      <c r="L14" s="27"/>
      <c r="M14" s="27"/>
      <c r="N14" s="27"/>
      <c r="O14" s="27"/>
      <c r="P14" s="28"/>
      <c r="Q14" s="50"/>
      <c r="R14" s="48">
        <v>3</v>
      </c>
      <c r="S14" s="49" t="s">
        <v>29</v>
      </c>
      <c r="T14" s="49">
        <v>1000</v>
      </c>
      <c r="U14" s="28">
        <v>767</v>
      </c>
      <c r="V14" s="28">
        <v>7.6699999999999997E-3</v>
      </c>
      <c r="W14" s="28"/>
      <c r="X14" s="28">
        <v>3</v>
      </c>
      <c r="Y14" s="28">
        <v>7.67</v>
      </c>
      <c r="Z14" s="50" t="str">
        <f>IF(ISBLANK(E14),"",IF(E14=V14,"correct","incorrect"))</f>
        <v/>
      </c>
      <c r="AA14" s="28"/>
      <c r="AB14" s="27"/>
    </row>
    <row r="15" spans="1:28" s="2" customFormat="1" ht="28" customHeight="1">
      <c r="A15" s="26"/>
      <c r="B15" s="29"/>
      <c r="C15" s="29"/>
      <c r="D15" s="27"/>
      <c r="E15" s="28"/>
      <c r="F15" s="28"/>
      <c r="G15" s="28"/>
      <c r="H15" s="78"/>
      <c r="I15" s="28"/>
      <c r="J15" s="28"/>
      <c r="K15" s="27"/>
      <c r="L15" s="27"/>
      <c r="M15" s="27"/>
      <c r="N15" s="27"/>
      <c r="O15" s="27"/>
      <c r="P15" s="28"/>
      <c r="Q15" s="48"/>
      <c r="R15" s="48"/>
      <c r="S15" s="49"/>
      <c r="T15" s="49"/>
      <c r="U15" s="28"/>
      <c r="V15" s="28"/>
      <c r="W15" s="28"/>
      <c r="X15" s="28"/>
      <c r="Y15" s="28"/>
      <c r="Z15" s="28"/>
      <c r="AA15" s="28"/>
      <c r="AB15" s="27"/>
    </row>
    <row r="16" spans="1:28" s="2" customFormat="1" ht="28" customHeight="1">
      <c r="A16" s="26"/>
      <c r="B16" s="52">
        <f>B14+1</f>
        <v>7</v>
      </c>
      <c r="C16" s="59" t="str">
        <f>Y16&amp;" × "&amp;10&amp;S16</f>
        <v>2.4 × 10⁻⁶</v>
      </c>
      <c r="D16" s="45" t="s">
        <v>1</v>
      </c>
      <c r="E16" s="71"/>
      <c r="F16" s="55"/>
      <c r="G16" s="55"/>
      <c r="H16" s="76"/>
      <c r="I16" s="28"/>
      <c r="J16" s="28"/>
      <c r="K16" s="27"/>
      <c r="L16" s="27"/>
      <c r="M16" s="27"/>
      <c r="N16" s="27"/>
      <c r="O16" s="27"/>
      <c r="P16" s="28"/>
      <c r="Q16" s="50"/>
      <c r="R16" s="48">
        <v>6</v>
      </c>
      <c r="S16" s="49" t="s">
        <v>27</v>
      </c>
      <c r="T16" s="49">
        <v>1000000</v>
      </c>
      <c r="U16" s="28">
        <v>24</v>
      </c>
      <c r="V16" s="28">
        <v>2.3999999999999999E-6</v>
      </c>
      <c r="W16" s="28"/>
      <c r="X16" s="28">
        <v>2</v>
      </c>
      <c r="Y16" s="28">
        <v>2.4</v>
      </c>
      <c r="Z16" s="50" t="str">
        <f>IF(ISBLANK(E16),"",IF(E16=V16,"correct","incorrect"))</f>
        <v/>
      </c>
      <c r="AA16" s="28"/>
      <c r="AB16" s="27"/>
    </row>
    <row r="17" spans="1:28" s="2" customFormat="1" ht="28" customHeight="1">
      <c r="A17" s="26"/>
      <c r="B17" s="29"/>
      <c r="C17" s="29"/>
      <c r="D17" s="27"/>
      <c r="E17" s="28"/>
      <c r="F17" s="28"/>
      <c r="G17" s="28"/>
      <c r="H17" s="78"/>
      <c r="I17" s="28"/>
      <c r="J17" s="28"/>
      <c r="K17" s="27"/>
      <c r="L17" s="27"/>
      <c r="M17" s="27"/>
      <c r="N17" s="27"/>
      <c r="O17" s="27"/>
      <c r="P17" s="28"/>
      <c r="Q17" s="48"/>
      <c r="R17" s="48"/>
      <c r="S17" s="49"/>
      <c r="T17" s="49"/>
      <c r="U17" s="28"/>
      <c r="V17" s="28"/>
      <c r="W17" s="28"/>
      <c r="X17" s="28"/>
      <c r="Y17" s="28"/>
      <c r="Z17" s="28"/>
      <c r="AA17" s="28"/>
      <c r="AB17" s="27"/>
    </row>
    <row r="18" spans="1:28" s="2" customFormat="1" ht="28" customHeight="1">
      <c r="A18" s="26"/>
      <c r="B18" s="52">
        <f>B16+1</f>
        <v>8</v>
      </c>
      <c r="C18" s="59" t="str">
        <f>Y18&amp;" × "&amp;10&amp;S18</f>
        <v>9.79 × 10⁻³</v>
      </c>
      <c r="D18" s="45" t="s">
        <v>1</v>
      </c>
      <c r="E18" s="71"/>
      <c r="F18" s="55"/>
      <c r="G18" s="55"/>
      <c r="H18" s="76"/>
      <c r="I18" s="28"/>
      <c r="J18" s="28"/>
      <c r="K18" s="27"/>
      <c r="L18" s="27"/>
      <c r="M18" s="27"/>
      <c r="N18" s="27"/>
      <c r="O18" s="27"/>
      <c r="P18" s="28"/>
      <c r="Q18" s="50"/>
      <c r="R18" s="48">
        <v>3</v>
      </c>
      <c r="S18" s="49" t="s">
        <v>29</v>
      </c>
      <c r="T18" s="49">
        <v>1000</v>
      </c>
      <c r="U18" s="28">
        <v>979</v>
      </c>
      <c r="V18" s="28">
        <v>9.7899999999999984E-3</v>
      </c>
      <c r="W18" s="28"/>
      <c r="X18" s="28">
        <v>3</v>
      </c>
      <c r="Y18" s="28">
        <v>9.7899999999999991</v>
      </c>
      <c r="Z18" s="50" t="str">
        <f>IF(ISBLANK(E18),"",IF(E18=V18,"correct","incorrect"))</f>
        <v/>
      </c>
      <c r="AA18" s="28"/>
      <c r="AB18" s="27"/>
    </row>
    <row r="19" spans="1:28" s="2" customFormat="1" ht="28" customHeight="1">
      <c r="A19" s="26"/>
      <c r="B19" s="29"/>
      <c r="C19" s="29"/>
      <c r="D19" s="27"/>
      <c r="E19" s="28"/>
      <c r="F19" s="28"/>
      <c r="G19" s="28"/>
      <c r="H19" s="78"/>
      <c r="I19" s="28"/>
      <c r="J19" s="28"/>
      <c r="K19" s="27"/>
      <c r="L19" s="27"/>
      <c r="M19" s="27"/>
      <c r="N19" s="27"/>
      <c r="O19" s="27"/>
      <c r="P19" s="28"/>
      <c r="Q19" s="48"/>
      <c r="R19" s="48"/>
      <c r="S19" s="49"/>
      <c r="T19" s="49"/>
      <c r="U19" s="28"/>
      <c r="V19" s="28"/>
      <c r="W19" s="28"/>
      <c r="X19" s="28"/>
      <c r="Y19" s="28"/>
      <c r="Z19" s="28"/>
      <c r="AA19" s="28"/>
      <c r="AB19" s="27"/>
    </row>
    <row r="20" spans="1:28" s="2" customFormat="1" ht="28" customHeight="1">
      <c r="A20" s="26"/>
      <c r="B20" s="52">
        <f>B18+1</f>
        <v>9</v>
      </c>
      <c r="C20" s="59" t="str">
        <f>Y20&amp;" × "&amp;10&amp;S20</f>
        <v>9.3 × 10⁻³</v>
      </c>
      <c r="D20" s="45" t="s">
        <v>1</v>
      </c>
      <c r="E20" s="71"/>
      <c r="F20" s="55"/>
      <c r="G20" s="55"/>
      <c r="H20" s="76"/>
      <c r="I20" s="28"/>
      <c r="J20" s="28"/>
      <c r="K20" s="27"/>
      <c r="L20" s="27"/>
      <c r="M20" s="27"/>
      <c r="N20" s="27"/>
      <c r="O20" s="27"/>
      <c r="P20" s="28"/>
      <c r="Q20" s="50"/>
      <c r="R20" s="48">
        <v>3</v>
      </c>
      <c r="S20" s="49" t="s">
        <v>29</v>
      </c>
      <c r="T20" s="49">
        <v>1000</v>
      </c>
      <c r="U20" s="28">
        <v>93</v>
      </c>
      <c r="V20" s="28">
        <v>9.300000000000001E-3</v>
      </c>
      <c r="W20" s="28"/>
      <c r="X20" s="28">
        <v>2</v>
      </c>
      <c r="Y20" s="28">
        <v>9.3000000000000007</v>
      </c>
      <c r="Z20" s="50" t="str">
        <f>IF(ISBLANK(E20),"",IF(E20=V20,"correct","incorrect"))</f>
        <v/>
      </c>
      <c r="AA20" s="28"/>
      <c r="AB20" s="27"/>
    </row>
    <row r="21" spans="1:28" s="2" customFormat="1" ht="28" customHeight="1">
      <c r="A21" s="26"/>
      <c r="B21" s="29"/>
      <c r="C21" s="29"/>
      <c r="D21" s="27"/>
      <c r="E21" s="28"/>
      <c r="F21" s="28"/>
      <c r="G21" s="28"/>
      <c r="H21" s="78"/>
      <c r="I21" s="28"/>
      <c r="J21" s="28"/>
      <c r="K21" s="27"/>
      <c r="L21" s="27"/>
      <c r="M21" s="27"/>
      <c r="N21" s="27"/>
      <c r="O21" s="27"/>
      <c r="P21" s="28"/>
      <c r="Q21" s="48"/>
      <c r="R21" s="48"/>
      <c r="S21" s="49"/>
      <c r="T21" s="49"/>
      <c r="U21" s="28"/>
      <c r="V21" s="28"/>
      <c r="W21" s="28"/>
      <c r="X21" s="28"/>
      <c r="Y21" s="28"/>
      <c r="Z21" s="28"/>
      <c r="AA21" s="28"/>
      <c r="AB21" s="27"/>
    </row>
    <row r="22" spans="1:28" s="2" customFormat="1" ht="28" customHeight="1">
      <c r="A22" s="26"/>
      <c r="B22" s="52">
        <f>B20+1</f>
        <v>10</v>
      </c>
      <c r="C22" s="59" t="str">
        <f>Y22&amp;" × "&amp;10&amp;S22</f>
        <v>8.76 × 10⁻³</v>
      </c>
      <c r="D22" s="45" t="s">
        <v>1</v>
      </c>
      <c r="E22" s="71"/>
      <c r="F22" s="55"/>
      <c r="G22" s="55"/>
      <c r="H22" s="76"/>
      <c r="I22" s="28"/>
      <c r="J22" s="28"/>
      <c r="K22" s="27"/>
      <c r="L22" s="27"/>
      <c r="M22" s="27"/>
      <c r="N22" s="27"/>
      <c r="O22" s="27"/>
      <c r="P22" s="28"/>
      <c r="Q22" s="50"/>
      <c r="R22" s="48">
        <v>3</v>
      </c>
      <c r="S22" s="49" t="s">
        <v>29</v>
      </c>
      <c r="T22" s="49">
        <v>1000</v>
      </c>
      <c r="U22" s="28">
        <v>876</v>
      </c>
      <c r="V22" s="28">
        <v>8.7600000000000004E-3</v>
      </c>
      <c r="W22" s="28"/>
      <c r="X22" s="28">
        <v>3</v>
      </c>
      <c r="Y22" s="28">
        <v>8.76</v>
      </c>
      <c r="Z22" s="50" t="str">
        <f>IF(ISBLANK(E22),"",IF(E22=V22,"correct","incorrect"))</f>
        <v/>
      </c>
      <c r="AA22" s="28"/>
      <c r="AB22" s="27"/>
    </row>
    <row r="23" spans="1:28" s="2" customFormat="1" ht="28" customHeight="1">
      <c r="A23" s="47"/>
      <c r="B23" s="47"/>
      <c r="C23" s="47"/>
      <c r="D23" s="47"/>
      <c r="E23" s="47"/>
      <c r="F23" s="47"/>
      <c r="G23" s="47"/>
      <c r="H23" s="6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 s="2" customFormat="1" ht="28" customHeight="1">
      <c r="A24" s="26"/>
      <c r="B24" s="29"/>
      <c r="C24" s="29"/>
      <c r="D24" s="27"/>
      <c r="E24" s="28"/>
      <c r="F24" s="28"/>
      <c r="G24" s="28"/>
      <c r="H24" s="66"/>
      <c r="I24" s="28"/>
      <c r="J24" s="28"/>
      <c r="K24" s="27"/>
      <c r="L24" s="27"/>
      <c r="M24" s="27"/>
      <c r="N24" s="27"/>
      <c r="O24" s="27"/>
      <c r="P24" s="28"/>
      <c r="Q24" s="27"/>
      <c r="R24" s="27"/>
      <c r="S24" s="28"/>
      <c r="T24" s="28"/>
      <c r="U24" s="28"/>
      <c r="V24" s="28"/>
      <c r="W24" s="28"/>
      <c r="X24" s="28"/>
      <c r="Y24" s="28"/>
      <c r="Z24" s="28"/>
      <c r="AA24" s="28"/>
      <c r="AB24" s="27"/>
    </row>
    <row r="25" spans="1:28" s="40" customFormat="1" hidden="1">
      <c r="A25" s="39"/>
      <c r="E25" s="41"/>
      <c r="F25" s="41"/>
      <c r="G25" s="41"/>
      <c r="H25" s="63"/>
      <c r="I25" s="41"/>
      <c r="J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8" customFormat="1" ht="28" hidden="1" customHeight="1">
      <c r="H26" s="64"/>
    </row>
    <row r="27" spans="1:28" s="2" customFormat="1" ht="28" hidden="1" customHeight="1">
      <c r="A27" s="26"/>
      <c r="B27" s="52">
        <f>B25+1</f>
        <v>1</v>
      </c>
      <c r="C27" s="59">
        <f ca="1">V27</f>
        <v>9.9999999999999995E-7</v>
      </c>
      <c r="D27" s="45" t="s">
        <v>1</v>
      </c>
      <c r="E27" s="56">
        <v>4</v>
      </c>
      <c r="F27" s="55"/>
      <c r="G27" s="55"/>
      <c r="H27" s="54"/>
      <c r="I27" s="28"/>
      <c r="J27" s="28"/>
      <c r="K27" s="27"/>
      <c r="L27" s="27"/>
      <c r="M27" s="27"/>
      <c r="N27" s="27"/>
      <c r="O27" s="27"/>
      <c r="P27" s="28"/>
      <c r="Q27" s="50" t="str">
        <f>IF(ISBLANK(H27),"",IF(H27=R27,"correct","incorrect"))</f>
        <v/>
      </c>
      <c r="R27" s="48">
        <f ca="1">RANDBETWEEN(3,6)</f>
        <v>5</v>
      </c>
      <c r="S27" s="49" t="str">
        <f ca="1">"⁻"&amp;IF(AND(R27&gt;9,R27&lt;100),INDEX(super,LEFT(R27,1)+1,1)&amp;INDEX(super,RIGHT(R27,1)+1,1),INDEX(super,R27+1,1))</f>
        <v>⁻⁵</v>
      </c>
      <c r="T27" s="49">
        <f ca="1">10^R27</f>
        <v>100000</v>
      </c>
      <c r="U27" s="28">
        <f ca="1">FLOOR(RAND()*(10^(X27)),1)</f>
        <v>1</v>
      </c>
      <c r="V27" s="28">
        <f ca="1">Y27/T27</f>
        <v>9.9999999999999995E-7</v>
      </c>
      <c r="W27" s="28"/>
      <c r="X27" s="28">
        <f ca="1">RANDBETWEEN(2,3)</f>
        <v>2</v>
      </c>
      <c r="Y27" s="28">
        <f ca="1">U27/10^(X27-1)</f>
        <v>0.1</v>
      </c>
      <c r="Z27" s="50" t="str">
        <f ca="1">IF(ISBLANK(E27),"",IF(E27=Y27,"correct","incorrect"))</f>
        <v>incorrect</v>
      </c>
      <c r="AA27" s="28"/>
      <c r="AB27" s="27"/>
    </row>
    <row r="28" spans="1:28" hidden="1"/>
    <row r="29" spans="1:28" ht="18" hidden="1" customHeight="1"/>
    <row r="30" spans="1:28" ht="18" hidden="1" customHeight="1"/>
    <row r="31" spans="1:28" ht="18" hidden="1" customHeight="1"/>
    <row r="32" spans="1:28" ht="18" hidden="1" customHeight="1"/>
    <row r="33" ht="18" hidden="1" customHeight="1"/>
    <row r="34" ht="18" hidden="1" customHeight="1"/>
    <row r="35" ht="18" hidden="1" customHeight="1"/>
    <row r="36" ht="18" hidden="1" customHeight="1"/>
    <row r="37" ht="18" hidden="1" customHeight="1"/>
    <row r="38" ht="18" hidden="1" customHeight="1"/>
    <row r="39" ht="18" hidden="1" customHeight="1"/>
    <row r="40" ht="18" hidden="1" customHeight="1"/>
    <row r="41" ht="18" hidden="1" customHeight="1"/>
    <row r="42" ht="18" hidden="1" customHeight="1"/>
    <row r="43" ht="18" hidden="1" customHeight="1"/>
    <row r="44" ht="18" hidden="1" customHeight="1"/>
    <row r="45" ht="18" hidden="1" customHeight="1"/>
    <row r="46" ht="18" hidden="1" customHeight="1"/>
    <row r="47" ht="18" hidden="1" customHeight="1"/>
    <row r="48" ht="18" hidden="1" customHeight="1"/>
    <row r="49" ht="18" hidden="1" customHeight="1"/>
    <row r="50" ht="18" hidden="1" customHeight="1"/>
    <row r="51" ht="18" hidden="1" customHeight="1"/>
    <row r="52" ht="18" hidden="1" customHeight="1"/>
    <row r="53" ht="18" hidden="1" customHeight="1"/>
    <row r="54" ht="18" hidden="1" customHeight="1"/>
    <row r="55" ht="18" hidden="1" customHeight="1"/>
    <row r="56" ht="18" hidden="1" customHeight="1"/>
    <row r="57" ht="18" hidden="1" customHeight="1"/>
    <row r="58" ht="18" hidden="1" customHeight="1"/>
    <row r="59" ht="18" hidden="1" customHeight="1"/>
    <row r="60" ht="18" hidden="1" customHeight="1"/>
    <row r="61" ht="18" hidden="1" customHeight="1"/>
    <row r="62" ht="18" hidden="1" customHeight="1"/>
    <row r="63" ht="18" hidden="1" customHeight="1"/>
    <row r="64" ht="18" hidden="1" customHeight="1"/>
    <row r="65" ht="18" hidden="1" customHeight="1"/>
    <row r="66" ht="18" hidden="1" customHeight="1"/>
    <row r="67" ht="18" hidden="1" customHeight="1"/>
    <row r="68" ht="18" hidden="1" customHeight="1"/>
    <row r="69" ht="18" hidden="1" customHeight="1"/>
    <row r="70" ht="18" hidden="1" customHeight="1"/>
    <row r="71" ht="18" hidden="1" customHeight="1"/>
    <row r="72" ht="18" hidden="1" customHeight="1"/>
    <row r="73" ht="18" hidden="1" customHeight="1"/>
    <row r="74" ht="18" hidden="1" customHeight="1"/>
    <row r="75" ht="18" hidden="1" customHeight="1"/>
    <row r="76" ht="18" hidden="1" customHeight="1"/>
    <row r="77" ht="18" hidden="1" customHeight="1"/>
    <row r="78" ht="18" hidden="1" customHeight="1"/>
    <row r="79" ht="18" hidden="1" customHeight="1"/>
    <row r="80" ht="18" hidden="1" customHeight="1"/>
    <row r="81" ht="18" hidden="1" customHeight="1"/>
    <row r="82" ht="18" hidden="1" customHeight="1"/>
    <row r="83" ht="18" hidden="1" customHeight="1"/>
    <row r="84" ht="18" hidden="1" customHeight="1"/>
    <row r="85" ht="18" hidden="1" customHeight="1"/>
    <row r="86" ht="18" hidden="1" customHeight="1"/>
    <row r="87" ht="18" hidden="1" customHeight="1"/>
  </sheetData>
  <sheetProtection sheet="1" objects="1" scenarios="1" selectLockedCells="1"/>
  <phoneticPr fontId="54" type="noConversion"/>
  <conditionalFormatting sqref="P1">
    <cfRule type="cellIs" dxfId="51" priority="61" stopIfTrue="1" operator="lessThan">
      <formula>1</formula>
    </cfRule>
    <cfRule type="cellIs" dxfId="50" priority="62" stopIfTrue="1" operator="equal">
      <formula>1</formula>
    </cfRule>
  </conditionalFormatting>
  <conditionalFormatting sqref="E27">
    <cfRule type="expression" dxfId="49" priority="58">
      <formula>ISBLANK(E27)</formula>
    </cfRule>
    <cfRule type="expression" dxfId="48" priority="59">
      <formula>Z27="correct"</formula>
    </cfRule>
    <cfRule type="expression" dxfId="47" priority="60">
      <formula>Z27="incorrect"</formula>
    </cfRule>
  </conditionalFormatting>
  <conditionalFormatting sqref="E4">
    <cfRule type="expression" dxfId="46" priority="55">
      <formula>ISBLANK(E4)</formula>
    </cfRule>
    <cfRule type="expression" dxfId="45" priority="56">
      <formula>Z4="correct"</formula>
    </cfRule>
    <cfRule type="expression" dxfId="44" priority="57">
      <formula>Z4="incorrect"</formula>
    </cfRule>
  </conditionalFormatting>
  <conditionalFormatting sqref="E6">
    <cfRule type="expression" dxfId="43" priority="25">
      <formula>ISBLANK(E6)</formula>
    </cfRule>
    <cfRule type="expression" dxfId="42" priority="26">
      <formula>Z6="correct"</formula>
    </cfRule>
    <cfRule type="expression" dxfId="41" priority="27">
      <formula>Z6="incorrect"</formula>
    </cfRule>
  </conditionalFormatting>
  <conditionalFormatting sqref="E8">
    <cfRule type="expression" dxfId="40" priority="22">
      <formula>ISBLANK(E8)</formula>
    </cfRule>
    <cfRule type="expression" dxfId="39" priority="23">
      <formula>Z8="correct"</formula>
    </cfRule>
    <cfRule type="expression" dxfId="38" priority="24">
      <formula>Z8="incorrect"</formula>
    </cfRule>
  </conditionalFormatting>
  <conditionalFormatting sqref="E10">
    <cfRule type="expression" dxfId="37" priority="19">
      <formula>ISBLANK(E10)</formula>
    </cfRule>
    <cfRule type="expression" dxfId="36" priority="20">
      <formula>Z10="correct"</formula>
    </cfRule>
    <cfRule type="expression" dxfId="35" priority="21">
      <formula>Z10="incorrect"</formula>
    </cfRule>
  </conditionalFormatting>
  <conditionalFormatting sqref="E12">
    <cfRule type="expression" dxfId="34" priority="16">
      <formula>ISBLANK(E12)</formula>
    </cfRule>
    <cfRule type="expression" dxfId="33" priority="17">
      <formula>Z12="correct"</formula>
    </cfRule>
    <cfRule type="expression" dxfId="32" priority="18">
      <formula>Z12="incorrect"</formula>
    </cfRule>
  </conditionalFormatting>
  <conditionalFormatting sqref="E14">
    <cfRule type="expression" dxfId="31" priority="13">
      <formula>ISBLANK(E14)</formula>
    </cfRule>
    <cfRule type="expression" dxfId="30" priority="14">
      <formula>Z14="correct"</formula>
    </cfRule>
    <cfRule type="expression" dxfId="29" priority="15">
      <formula>Z14="incorrect"</formula>
    </cfRule>
  </conditionalFormatting>
  <conditionalFormatting sqref="E16">
    <cfRule type="expression" dxfId="28" priority="10">
      <formula>ISBLANK(E16)</formula>
    </cfRule>
    <cfRule type="expression" dxfId="27" priority="11">
      <formula>Z16="correct"</formula>
    </cfRule>
    <cfRule type="expression" dxfId="26" priority="12">
      <formula>Z16="incorrect"</formula>
    </cfRule>
  </conditionalFormatting>
  <conditionalFormatting sqref="E18">
    <cfRule type="expression" dxfId="25" priority="7">
      <formula>ISBLANK(E18)</formula>
    </cfRule>
    <cfRule type="expression" dxfId="24" priority="8">
      <formula>Z18="correct"</formula>
    </cfRule>
    <cfRule type="expression" dxfId="23" priority="9">
      <formula>Z18="incorrect"</formula>
    </cfRule>
  </conditionalFormatting>
  <conditionalFormatting sqref="E20">
    <cfRule type="expression" dxfId="22" priority="4">
      <formula>ISBLANK(E20)</formula>
    </cfRule>
    <cfRule type="expression" dxfId="21" priority="5">
      <formula>Z20="correct"</formula>
    </cfRule>
    <cfRule type="expression" dxfId="20" priority="6">
      <formula>Z20="incorrect"</formula>
    </cfRule>
  </conditionalFormatting>
  <conditionalFormatting sqref="E22">
    <cfRule type="expression" dxfId="19" priority="1">
      <formula>ISBLANK(E22)</formula>
    </cfRule>
    <cfRule type="expression" dxfId="18" priority="2">
      <formula>Z22="correct"</formula>
    </cfRule>
    <cfRule type="expression" dxfId="17" priority="3">
      <formula>Z22="incorrect"</formula>
    </cfRule>
  </conditionalFormatting>
  <hyperlinks>
    <hyperlink ref="AB1" location="TOTAL!A1" display="Next"/>
    <hyperlink ref="B1" location="'Scientific Notation Part 3'!A1" display="Previous"/>
  </hyperlinks>
  <pageMargins left="0.59055118110236227" right="0.59055118110236227" top="0.39370078740157483" bottom="0.39370078740157483" header="0.51181102362204722" footer="0.51181102362204722"/>
  <pageSetup paperSize="9" scale="57" orientation="portrait" horizontalDpi="4294967295" verticalDpi="429496729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showRowColHeaders="0" workbookViewId="0">
      <pane ySplit="3" topLeftCell="A4" activePane="bottomLeft" state="frozenSplit"/>
      <selection activeCell="C5" sqref="C5:H13"/>
      <selection pane="bottomLeft" activeCell="C29" sqref="C29"/>
    </sheetView>
  </sheetViews>
  <sheetFormatPr baseColWidth="10" defaultColWidth="0" defaultRowHeight="0" customHeight="1" zeroHeight="1" x14ac:dyDescent="0"/>
  <cols>
    <col min="1" max="1" width="8.83203125" style="4" hidden="1" customWidth="1"/>
    <col min="2" max="2" width="14.1640625" style="4" customWidth="1"/>
    <col min="3" max="3" width="23.6640625" style="4" customWidth="1"/>
    <col min="4" max="4" width="14.1640625" style="4" customWidth="1"/>
    <col min="5" max="5" width="4.6640625" style="4" customWidth="1"/>
    <col min="6" max="6" width="9.5" style="4" customWidth="1"/>
    <col min="7" max="7" width="12.1640625" style="4" customWidth="1"/>
    <col min="8" max="9" width="9.5" style="4" customWidth="1"/>
    <col min="10" max="10" width="9.5" style="7" customWidth="1"/>
    <col min="11" max="11" width="9.5" style="4" customWidth="1"/>
    <col min="12" max="14" width="4.6640625" style="3" hidden="1" customWidth="1"/>
    <col min="15" max="15" width="4.6640625" style="4" hidden="1" customWidth="1"/>
    <col min="16" max="16384" width="8.83203125" style="4" hidden="1"/>
  </cols>
  <sheetData>
    <row r="1" spans="2:15" ht="30">
      <c r="B1" s="20"/>
      <c r="C1" s="24" t="s">
        <v>4</v>
      </c>
      <c r="D1" s="23" t="str">
        <f ca="1">MID(CELL("filename",A1),FIND("]",CELL("filename",A1))+1,256)</f>
        <v>TOTAL</v>
      </c>
      <c r="E1" s="21"/>
      <c r="F1" s="15"/>
      <c r="G1" s="15"/>
      <c r="H1" s="15"/>
      <c r="I1" s="15"/>
      <c r="J1" s="22"/>
      <c r="K1" s="15"/>
      <c r="L1" s="3" t="s">
        <v>5</v>
      </c>
      <c r="M1" s="3" t="s">
        <v>6</v>
      </c>
    </row>
    <row r="2" spans="2:15" ht="28">
      <c r="B2" s="15"/>
      <c r="C2" s="15"/>
      <c r="D2" s="15"/>
      <c r="E2" s="15"/>
      <c r="F2" s="15"/>
      <c r="G2" s="105" t="s">
        <v>7</v>
      </c>
      <c r="H2" s="105"/>
      <c r="I2" s="19" t="str">
        <f ca="1">L2&amp;" / "&amp;M2</f>
        <v>0 / 10</v>
      </c>
      <c r="J2" s="104" t="str">
        <f ca="1">IF(L2=M2,"FINISHED","")</f>
        <v/>
      </c>
      <c r="K2" s="104"/>
      <c r="L2" s="3">
        <f ca="1">COUNTIF(I4:J34,"✔")</f>
        <v>0</v>
      </c>
      <c r="M2" s="3">
        <f>COUNTA(E3:E34)</f>
        <v>10</v>
      </c>
    </row>
    <row r="3" spans="2:15" ht="28">
      <c r="B3" s="15"/>
      <c r="C3" s="15"/>
      <c r="D3" s="15"/>
      <c r="E3" s="15"/>
      <c r="F3" s="15"/>
      <c r="G3" s="72" t="s">
        <v>5</v>
      </c>
      <c r="H3" s="15"/>
      <c r="I3" s="15"/>
      <c r="J3" s="15"/>
      <c r="K3" s="15"/>
      <c r="L3" s="5"/>
      <c r="M3" s="5"/>
      <c r="N3" s="5"/>
      <c r="O3" s="6"/>
    </row>
    <row r="4" spans="2:15" ht="9" customHeight="1">
      <c r="B4" s="15"/>
      <c r="C4" s="15"/>
      <c r="D4" s="15"/>
      <c r="E4" s="15"/>
      <c r="F4" s="15"/>
      <c r="G4" s="15"/>
      <c r="H4" s="15"/>
      <c r="I4" s="15"/>
      <c r="J4" s="15"/>
      <c r="K4" s="15"/>
      <c r="L4" s="5"/>
      <c r="M4" s="5"/>
      <c r="N4" s="5"/>
      <c r="O4" s="6"/>
    </row>
    <row r="5" spans="2:15" ht="28">
      <c r="B5" s="15"/>
      <c r="C5" s="15"/>
      <c r="D5" s="15"/>
      <c r="E5" s="16" t="s">
        <v>31</v>
      </c>
      <c r="F5" s="15"/>
      <c r="G5" s="17">
        <f ca="1">INDIRECT(ADDRESS(1,16,1,TRUE,E5))</f>
        <v>0</v>
      </c>
      <c r="H5" s="15"/>
      <c r="I5" s="74" t="str">
        <f ca="1">IF(G5=1,"✔","")</f>
        <v/>
      </c>
      <c r="J5" s="73"/>
      <c r="K5" s="15"/>
      <c r="L5" s="5"/>
      <c r="M5" s="5"/>
      <c r="N5" s="5"/>
      <c r="O5" s="6"/>
    </row>
    <row r="6" spans="2:15" ht="9" customHeight="1">
      <c r="B6" s="15"/>
      <c r="C6" s="15"/>
      <c r="D6" s="15"/>
      <c r="E6" s="16"/>
      <c r="F6" s="15"/>
      <c r="G6" s="18"/>
      <c r="H6" s="15"/>
      <c r="I6" s="75"/>
      <c r="J6" s="15"/>
      <c r="K6" s="15"/>
      <c r="L6" s="5"/>
      <c r="M6" s="5"/>
      <c r="N6" s="5"/>
      <c r="O6" s="6"/>
    </row>
    <row r="7" spans="2:15" ht="28">
      <c r="B7" s="15"/>
      <c r="C7" s="15"/>
      <c r="D7" s="15"/>
      <c r="E7" s="16" t="s">
        <v>32</v>
      </c>
      <c r="F7" s="15"/>
      <c r="G7" s="17">
        <f ca="1">INDIRECT(ADDRESS(1,16,1,TRUE,E7))</f>
        <v>0</v>
      </c>
      <c r="H7" s="15"/>
      <c r="I7" s="74" t="str">
        <f ca="1">IF(G7=1,"✔","")</f>
        <v/>
      </c>
      <c r="J7" s="73"/>
      <c r="K7" s="15"/>
      <c r="L7" s="5"/>
      <c r="M7" s="5"/>
      <c r="N7" s="5"/>
      <c r="O7" s="6"/>
    </row>
    <row r="8" spans="2:15" ht="9" customHeight="1">
      <c r="B8" s="15"/>
      <c r="C8" s="15"/>
      <c r="D8" s="15"/>
      <c r="E8" s="16"/>
      <c r="F8" s="15"/>
      <c r="G8" s="18"/>
      <c r="H8" s="15"/>
      <c r="I8" s="75"/>
      <c r="J8" s="15"/>
      <c r="K8" s="15"/>
      <c r="L8" s="5"/>
      <c r="M8" s="5"/>
      <c r="N8" s="5"/>
      <c r="O8" s="6"/>
    </row>
    <row r="9" spans="2:15" ht="28">
      <c r="B9" s="15"/>
      <c r="C9" s="15"/>
      <c r="D9" s="15"/>
      <c r="E9" s="16" t="s">
        <v>33</v>
      </c>
      <c r="F9" s="15"/>
      <c r="G9" s="17">
        <f ca="1">INDIRECT(ADDRESS(1,13,1,TRUE,E9))</f>
        <v>0</v>
      </c>
      <c r="H9" s="15"/>
      <c r="I9" s="74" t="str">
        <f ca="1">IF(G9=1,"✔","")</f>
        <v/>
      </c>
      <c r="J9" s="73"/>
      <c r="K9" s="15"/>
      <c r="L9" s="5"/>
      <c r="M9" s="5"/>
      <c r="N9" s="5"/>
      <c r="O9" s="6"/>
    </row>
    <row r="10" spans="2:15" ht="9" customHeight="1">
      <c r="B10" s="15"/>
      <c r="C10" s="15"/>
      <c r="D10" s="15"/>
      <c r="E10" s="16"/>
      <c r="F10" s="15"/>
      <c r="G10" s="18"/>
      <c r="H10" s="15"/>
      <c r="I10" s="75"/>
      <c r="J10" s="15"/>
      <c r="K10" s="15"/>
      <c r="L10" s="5"/>
      <c r="M10" s="5"/>
      <c r="N10" s="5"/>
      <c r="O10" s="6"/>
    </row>
    <row r="11" spans="2:15" ht="28">
      <c r="B11" s="15"/>
      <c r="C11" s="15"/>
      <c r="D11" s="15"/>
      <c r="E11" s="16" t="s">
        <v>34</v>
      </c>
      <c r="F11" s="15"/>
      <c r="G11" s="17">
        <f ca="1">INDIRECT(ADDRESS(1,16,1,TRUE,E11))</f>
        <v>0</v>
      </c>
      <c r="H11" s="15"/>
      <c r="I11" s="74" t="str">
        <f ca="1">IF(G11=1,"✔","")</f>
        <v/>
      </c>
      <c r="J11" s="73"/>
      <c r="K11" s="15"/>
      <c r="L11" s="5"/>
      <c r="M11" s="5"/>
      <c r="N11" s="5"/>
      <c r="O11" s="6"/>
    </row>
    <row r="12" spans="2:15" ht="9" customHeight="1">
      <c r="B12" s="15"/>
      <c r="C12" s="15"/>
      <c r="D12" s="15"/>
      <c r="E12" s="16"/>
      <c r="F12" s="15"/>
      <c r="G12" s="18"/>
      <c r="H12" s="15"/>
      <c r="I12" s="75"/>
      <c r="J12" s="15"/>
      <c r="K12" s="15"/>
      <c r="L12" s="5"/>
      <c r="M12" s="5"/>
      <c r="N12" s="5"/>
      <c r="O12" s="6"/>
    </row>
    <row r="13" spans="2:15" ht="28">
      <c r="B13" s="15"/>
      <c r="C13" s="15"/>
      <c r="D13" s="15"/>
      <c r="E13" s="16" t="s">
        <v>35</v>
      </c>
      <c r="F13" s="15"/>
      <c r="G13" s="17">
        <f ca="1">INDIRECT(ADDRESS(1,16,1,TRUE,E13))</f>
        <v>0</v>
      </c>
      <c r="H13" s="15"/>
      <c r="I13" s="74" t="str">
        <f ca="1">IF(G13=1,"✔","")</f>
        <v/>
      </c>
      <c r="J13" s="73"/>
      <c r="K13" s="15"/>
      <c r="L13" s="5"/>
      <c r="M13" s="5"/>
      <c r="N13" s="5"/>
      <c r="O13" s="6"/>
    </row>
    <row r="14" spans="2:15" ht="9" customHeight="1">
      <c r="B14" s="15"/>
      <c r="C14" s="15"/>
      <c r="D14" s="15"/>
      <c r="E14" s="16"/>
      <c r="F14" s="15"/>
      <c r="G14" s="18"/>
      <c r="H14" s="15"/>
      <c r="I14" s="75"/>
      <c r="J14" s="15"/>
      <c r="K14" s="15"/>
      <c r="L14" s="5"/>
      <c r="M14" s="5"/>
      <c r="N14" s="5"/>
      <c r="O14" s="6"/>
    </row>
    <row r="15" spans="2:15" ht="28">
      <c r="B15" s="15"/>
      <c r="C15" s="15"/>
      <c r="D15" s="15"/>
      <c r="E15" s="16" t="s">
        <v>36</v>
      </c>
      <c r="F15" s="15"/>
      <c r="G15" s="17">
        <f ca="1">INDIRECT(ADDRESS(1,13,1,TRUE,E15))</f>
        <v>0</v>
      </c>
      <c r="H15" s="15"/>
      <c r="I15" s="74" t="str">
        <f ca="1">IF(G15=1,"✔","")</f>
        <v/>
      </c>
      <c r="J15" s="73"/>
      <c r="K15" s="15"/>
      <c r="L15" s="5"/>
      <c r="M15" s="5"/>
      <c r="N15" s="5"/>
      <c r="O15" s="6"/>
    </row>
    <row r="16" spans="2:15" ht="9" customHeight="1">
      <c r="B16" s="15"/>
      <c r="C16" s="15"/>
      <c r="D16" s="15"/>
      <c r="E16" s="16"/>
      <c r="F16" s="15"/>
      <c r="G16" s="18"/>
      <c r="H16" s="15"/>
      <c r="I16" s="75"/>
      <c r="J16" s="15"/>
      <c r="K16" s="15"/>
      <c r="L16" s="5"/>
      <c r="M16" s="5"/>
      <c r="N16" s="5"/>
      <c r="O16" s="6"/>
    </row>
    <row r="17" spans="2:15" ht="28">
      <c r="B17" s="15"/>
      <c r="C17" s="15"/>
      <c r="D17" s="15"/>
      <c r="E17" s="16" t="s">
        <v>37</v>
      </c>
      <c r="F17" s="15"/>
      <c r="G17" s="17">
        <f ca="1">INDIRECT(ADDRESS(1,16,1,TRUE,E17))</f>
        <v>0</v>
      </c>
      <c r="H17" s="15"/>
      <c r="I17" s="74" t="str">
        <f ca="1">IF(G17=1,"✔","")</f>
        <v/>
      </c>
      <c r="J17" s="73"/>
      <c r="K17" s="15"/>
      <c r="L17" s="5"/>
      <c r="M17" s="5"/>
      <c r="N17" s="5"/>
      <c r="O17" s="6"/>
    </row>
    <row r="18" spans="2:15" ht="9" customHeight="1">
      <c r="B18" s="15"/>
      <c r="C18" s="15"/>
      <c r="D18" s="15"/>
      <c r="E18" s="16"/>
      <c r="F18" s="15"/>
      <c r="G18" s="18"/>
      <c r="H18" s="15"/>
      <c r="I18" s="75"/>
      <c r="J18" s="15"/>
      <c r="K18" s="15"/>
      <c r="L18" s="5"/>
      <c r="M18" s="5"/>
      <c r="N18" s="5"/>
      <c r="O18" s="6"/>
    </row>
    <row r="19" spans="2:15" ht="28">
      <c r="B19" s="15"/>
      <c r="C19" s="15"/>
      <c r="D19" s="15"/>
      <c r="E19" s="16" t="s">
        <v>38</v>
      </c>
      <c r="F19" s="15"/>
      <c r="G19" s="17">
        <f ca="1">INDIRECT(ADDRESS(1,16,1,TRUE,E19))</f>
        <v>0</v>
      </c>
      <c r="H19" s="15"/>
      <c r="I19" s="74" t="str">
        <f ca="1">IF(G19=1,"✔","")</f>
        <v/>
      </c>
      <c r="J19" s="73"/>
      <c r="K19" s="15"/>
      <c r="L19" s="5"/>
      <c r="M19" s="5"/>
      <c r="N19" s="5"/>
      <c r="O19" s="6"/>
    </row>
    <row r="20" spans="2:15" ht="9" customHeight="1">
      <c r="B20" s="15"/>
      <c r="C20" s="15"/>
      <c r="D20" s="15"/>
      <c r="E20" s="16"/>
      <c r="F20" s="15"/>
      <c r="G20" s="15"/>
      <c r="H20" s="15"/>
      <c r="I20" s="75"/>
      <c r="J20" s="15"/>
      <c r="K20" s="15"/>
      <c r="L20" s="5"/>
      <c r="M20" s="5"/>
      <c r="N20" s="5"/>
      <c r="O20" s="6"/>
    </row>
    <row r="21" spans="2:15" ht="28">
      <c r="B21" s="15"/>
      <c r="C21" s="15"/>
      <c r="D21" s="15"/>
      <c r="E21" s="16" t="s">
        <v>39</v>
      </c>
      <c r="F21" s="15"/>
      <c r="G21" s="17">
        <f ca="1">INDIRECT(ADDRESS(1,16,1,TRUE,E21))</f>
        <v>0</v>
      </c>
      <c r="H21" s="15"/>
      <c r="I21" s="74" t="str">
        <f ca="1">IF(G21=1,"✔","")</f>
        <v/>
      </c>
      <c r="J21" s="73"/>
      <c r="K21" s="15"/>
      <c r="L21" s="5"/>
      <c r="M21" s="5"/>
      <c r="N21" s="5"/>
      <c r="O21" s="6"/>
    </row>
    <row r="22" spans="2:15" ht="9" customHeight="1">
      <c r="B22" s="15"/>
      <c r="C22" s="15"/>
      <c r="D22" s="15"/>
      <c r="E22" s="16"/>
      <c r="F22" s="15"/>
      <c r="G22" s="15"/>
      <c r="H22" s="15"/>
      <c r="I22" s="75"/>
      <c r="J22" s="15"/>
      <c r="K22" s="15"/>
      <c r="L22" s="5"/>
      <c r="M22" s="5"/>
      <c r="N22" s="5"/>
      <c r="O22" s="6"/>
    </row>
    <row r="23" spans="2:15" ht="28">
      <c r="B23" s="15"/>
      <c r="C23" s="15"/>
      <c r="D23" s="15"/>
      <c r="E23" s="16" t="s">
        <v>40</v>
      </c>
      <c r="F23" s="15"/>
      <c r="G23" s="17">
        <f ca="1">INDIRECT(ADDRESS(1,16,1,TRUE,E23))</f>
        <v>0</v>
      </c>
      <c r="H23" s="15"/>
      <c r="I23" s="74" t="str">
        <f ca="1">IF(G23=1,"✔","")</f>
        <v/>
      </c>
      <c r="J23" s="73"/>
      <c r="K23" s="15"/>
      <c r="L23" s="5"/>
      <c r="M23" s="5"/>
      <c r="N23" s="5"/>
      <c r="O23" s="6"/>
    </row>
    <row r="24" spans="2:15" ht="9" customHeight="1"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5"/>
      <c r="M24" s="5"/>
      <c r="N24" s="5"/>
      <c r="O24" s="6"/>
    </row>
    <row r="25" spans="2:15" ht="28">
      <c r="B25" s="15"/>
      <c r="C25" s="15"/>
      <c r="D25" s="15"/>
      <c r="E25" s="16"/>
      <c r="F25" s="15"/>
      <c r="G25" s="15"/>
      <c r="H25" s="15"/>
      <c r="I25" s="104"/>
      <c r="J25" s="104"/>
      <c r="K25" s="15"/>
      <c r="L25" s="5"/>
      <c r="M25" s="5"/>
      <c r="N25" s="5"/>
      <c r="O25" s="6"/>
    </row>
    <row r="26" spans="2:15" ht="9" customHeight="1"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5"/>
      <c r="M26" s="5"/>
      <c r="N26" s="5"/>
      <c r="O26" s="6"/>
    </row>
    <row r="27" spans="2:15" ht="28">
      <c r="B27" s="15"/>
      <c r="C27" s="15"/>
      <c r="D27" s="15"/>
      <c r="E27" s="16"/>
      <c r="F27" s="15"/>
      <c r="G27" s="15"/>
      <c r="H27" s="15"/>
      <c r="I27" s="104"/>
      <c r="J27" s="104"/>
      <c r="K27" s="15"/>
      <c r="L27" s="5"/>
      <c r="M27" s="5"/>
      <c r="N27" s="5"/>
      <c r="O27" s="6"/>
    </row>
    <row r="28" spans="2:15" ht="9" customHeight="1" thickBot="1"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5"/>
      <c r="M28" s="5"/>
      <c r="N28" s="5"/>
      <c r="O28" s="6"/>
    </row>
    <row r="29" spans="2:15" ht="29" thickBot="1">
      <c r="B29" s="15"/>
      <c r="C29" s="25" t="s">
        <v>9</v>
      </c>
      <c r="D29" s="15"/>
      <c r="E29" s="16"/>
      <c r="F29" s="15"/>
      <c r="G29" s="15"/>
      <c r="H29" s="15"/>
      <c r="I29" s="104"/>
      <c r="J29" s="104"/>
      <c r="K29" s="15"/>
      <c r="L29" s="5"/>
      <c r="M29" s="5"/>
      <c r="N29" s="5"/>
      <c r="O29" s="6"/>
    </row>
    <row r="30" spans="2:15" ht="9" customHeight="1"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5"/>
      <c r="M30" s="5"/>
      <c r="N30" s="5"/>
      <c r="O30" s="6"/>
    </row>
    <row r="31" spans="2:15" ht="28">
      <c r="B31" s="15"/>
      <c r="C31" s="15"/>
      <c r="D31" s="15"/>
      <c r="E31" s="16"/>
      <c r="F31" s="15"/>
      <c r="G31" s="15"/>
      <c r="H31" s="15"/>
      <c r="I31" s="104"/>
      <c r="J31" s="104"/>
      <c r="K31" s="15"/>
      <c r="L31" s="5"/>
      <c r="M31" s="5"/>
      <c r="N31" s="5"/>
      <c r="O31" s="6"/>
    </row>
    <row r="32" spans="2:15" ht="9" customHeight="1"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5"/>
      <c r="M32" s="5"/>
      <c r="N32" s="5"/>
      <c r="O32" s="6"/>
    </row>
    <row r="33" spans="2:15" ht="28">
      <c r="B33" s="15"/>
      <c r="C33" s="15"/>
      <c r="D33" s="15"/>
      <c r="E33" s="16"/>
      <c r="F33" s="15"/>
      <c r="G33" s="15"/>
      <c r="H33" s="15"/>
      <c r="I33" s="104"/>
      <c r="J33" s="104"/>
      <c r="K33" s="15"/>
      <c r="L33" s="5"/>
      <c r="M33" s="5"/>
      <c r="N33" s="5"/>
      <c r="O33" s="6"/>
    </row>
    <row r="34" spans="2:15" ht="9" customHeight="1"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5"/>
      <c r="M34" s="5"/>
      <c r="N34" s="5"/>
      <c r="O34" s="6"/>
    </row>
  </sheetData>
  <sheetProtection sheet="1" objects="1" scenarios="1" selectLockedCells="1"/>
  <mergeCells count="7">
    <mergeCell ref="I33:J33"/>
    <mergeCell ref="I25:J25"/>
    <mergeCell ref="G2:H2"/>
    <mergeCell ref="J2:K2"/>
    <mergeCell ref="I27:J27"/>
    <mergeCell ref="I29:J29"/>
    <mergeCell ref="I31:J31"/>
  </mergeCells>
  <phoneticPr fontId="54" type="noConversion"/>
  <conditionalFormatting sqref="J2">
    <cfRule type="expression" dxfId="16" priority="24">
      <formula>$J$2="Finished"</formula>
    </cfRule>
  </conditionalFormatting>
  <conditionalFormatting sqref="I27">
    <cfRule type="expression" dxfId="15" priority="18">
      <formula>$I27="Completed"</formula>
    </cfRule>
  </conditionalFormatting>
  <conditionalFormatting sqref="I25">
    <cfRule type="expression" dxfId="14" priority="17">
      <formula>$I25="Completed"</formula>
    </cfRule>
  </conditionalFormatting>
  <conditionalFormatting sqref="I5">
    <cfRule type="expression" dxfId="13" priority="15">
      <formula>$I5="Completed"</formula>
    </cfRule>
  </conditionalFormatting>
  <conditionalFormatting sqref="I29">
    <cfRule type="expression" dxfId="12" priority="13">
      <formula>$I29="Completed"</formula>
    </cfRule>
  </conditionalFormatting>
  <conditionalFormatting sqref="I31">
    <cfRule type="expression" dxfId="11" priority="12">
      <formula>$I31="Completed"</formula>
    </cfRule>
  </conditionalFormatting>
  <conditionalFormatting sqref="I33">
    <cfRule type="expression" dxfId="10" priority="11">
      <formula>$I33="Completed"</formula>
    </cfRule>
  </conditionalFormatting>
  <conditionalFormatting sqref="I7">
    <cfRule type="expression" dxfId="9" priority="10">
      <formula>$I7="Completed"</formula>
    </cfRule>
  </conditionalFormatting>
  <conditionalFormatting sqref="I9">
    <cfRule type="expression" dxfId="8" priority="9">
      <formula>$I9="Completed"</formula>
    </cfRule>
  </conditionalFormatting>
  <conditionalFormatting sqref="I11">
    <cfRule type="expression" dxfId="7" priority="8">
      <formula>$I11="Completed"</formula>
    </cfRule>
  </conditionalFormatting>
  <conditionalFormatting sqref="I13">
    <cfRule type="expression" dxfId="6" priority="7">
      <formula>$I13="Completed"</formula>
    </cfRule>
  </conditionalFormatting>
  <conditionalFormatting sqref="I15">
    <cfRule type="expression" dxfId="5" priority="6">
      <formula>$I15="Completed"</formula>
    </cfRule>
  </conditionalFormatting>
  <conditionalFormatting sqref="I17">
    <cfRule type="expression" dxfId="4" priority="5">
      <formula>$I17="Completed"</formula>
    </cfRule>
  </conditionalFormatting>
  <conditionalFormatting sqref="I19">
    <cfRule type="expression" dxfId="3" priority="4">
      <formula>$I19="Completed"</formula>
    </cfRule>
  </conditionalFormatting>
  <conditionalFormatting sqref="I21">
    <cfRule type="expression" dxfId="2" priority="3">
      <formula>$I21="Completed"</formula>
    </cfRule>
  </conditionalFormatting>
  <conditionalFormatting sqref="I23">
    <cfRule type="expression" dxfId="1" priority="2">
      <formula>$I23="Completed"</formula>
    </cfRule>
  </conditionalFormatting>
  <conditionalFormatting sqref="B1:K34">
    <cfRule type="expression" dxfId="0" priority="1">
      <formula>$J$2="FINISHED"</formula>
    </cfRule>
  </conditionalFormatting>
  <hyperlinks>
    <hyperlink ref="C1" location="'Scientific Notation Part 4'!A1" display="Previous"/>
    <hyperlink ref="C29" location="Start!A1" display="Back to Start"/>
  </hyperlink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0" sqref="B1:B10"/>
    </sheetView>
  </sheetViews>
  <sheetFormatPr baseColWidth="10" defaultColWidth="8.83203125" defaultRowHeight="12" x14ac:dyDescent="0"/>
  <sheetData>
    <row r="1" spans="1:6" ht="15">
      <c r="A1">
        <v>0</v>
      </c>
      <c r="B1" s="44" t="s">
        <v>18</v>
      </c>
    </row>
    <row r="2" spans="1:6" ht="15">
      <c r="A2">
        <v>1</v>
      </c>
      <c r="B2" s="44" t="s">
        <v>17</v>
      </c>
    </row>
    <row r="3" spans="1:6" ht="15">
      <c r="A3">
        <v>2</v>
      </c>
      <c r="B3" s="44" t="s">
        <v>2</v>
      </c>
    </row>
    <row r="4" spans="1:6" ht="15">
      <c r="A4">
        <v>3</v>
      </c>
      <c r="B4" s="44" t="s">
        <v>16</v>
      </c>
    </row>
    <row r="5" spans="1:6" ht="15">
      <c r="A5">
        <v>4</v>
      </c>
      <c r="B5" s="44" t="s">
        <v>15</v>
      </c>
    </row>
    <row r="6" spans="1:6" ht="15">
      <c r="A6">
        <v>5</v>
      </c>
      <c r="B6" s="44" t="s">
        <v>14</v>
      </c>
      <c r="F6" t="str">
        <f>B10</f>
        <v>⁹</v>
      </c>
    </row>
    <row r="7" spans="1:6" ht="15">
      <c r="A7">
        <v>6</v>
      </c>
      <c r="B7" s="44" t="s">
        <v>13</v>
      </c>
    </row>
    <row r="8" spans="1:6" ht="15">
      <c r="A8">
        <v>7</v>
      </c>
      <c r="B8" s="44" t="s">
        <v>12</v>
      </c>
    </row>
    <row r="9" spans="1:6" ht="15">
      <c r="A9">
        <v>8</v>
      </c>
      <c r="B9" s="44" t="s">
        <v>11</v>
      </c>
    </row>
    <row r="10" spans="1:6" ht="15">
      <c r="A10">
        <v>9</v>
      </c>
      <c r="B10" s="44" t="s">
        <v>10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Start</vt:lpstr>
      <vt:lpstr>About</vt:lpstr>
      <vt:lpstr>Powers of 10</vt:lpstr>
      <vt:lpstr>Powers of 10 Part 2</vt:lpstr>
      <vt:lpstr>Powers of 10 Part 3</vt:lpstr>
      <vt:lpstr>Powers of 10 Part 4</vt:lpstr>
      <vt:lpstr>Powers of 10 Part 5</vt:lpstr>
      <vt:lpstr>Powers of 10 Part 6</vt:lpstr>
      <vt:lpstr>Scientific Notation Part 1</vt:lpstr>
      <vt:lpstr>Scientific Notation Part 2</vt:lpstr>
      <vt:lpstr>Scientific Notation Part 3</vt:lpstr>
      <vt:lpstr>Scientific Notation Part 4</vt:lpstr>
      <vt:lpstr>TOTAL</vt:lpstr>
      <vt:lpstr>super</vt:lpstr>
    </vt:vector>
  </TitlesOfParts>
  <Company>mathsclass.net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Expansion</dc:title>
  <dc:subject>Algebra</dc:subject>
  <dc:creator>S. Job</dc:creator>
  <cp:lastModifiedBy>Simon Job</cp:lastModifiedBy>
  <cp:lastPrinted>2015-03-05T08:32:45Z</cp:lastPrinted>
  <dcterms:created xsi:type="dcterms:W3CDTF">2005-05-18T02:46:40Z</dcterms:created>
  <dcterms:modified xsi:type="dcterms:W3CDTF">2015-03-05T08:53:26Z</dcterms:modified>
</cp:coreProperties>
</file>