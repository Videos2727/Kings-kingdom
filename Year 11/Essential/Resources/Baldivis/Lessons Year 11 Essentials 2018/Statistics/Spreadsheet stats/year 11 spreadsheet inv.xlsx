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e4007446\Desktop\"/>
    </mc:Choice>
  </mc:AlternateContent>
  <xr:revisionPtr revIDLastSave="0" documentId="10_ncr:100000_{CB62FEBF-5AA0-4B75-B458-55B6C281556F}" xr6:coauthVersionLast="31" xr6:coauthVersionMax="31" xr10:uidLastSave="{00000000-0000-0000-0000-000000000000}"/>
  <bookViews>
    <workbookView xWindow="0" yWindow="0" windowWidth="15225" windowHeight="6465" xr2:uid="{00000000-000D-0000-FFFF-FFFF00000000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9" i="1"/>
  <c r="C11" i="1" l="1"/>
  <c r="C12" i="1"/>
  <c r="C13" i="1"/>
  <c r="F7" i="1"/>
  <c r="F6" i="1"/>
  <c r="F5" i="1"/>
  <c r="F4" i="1"/>
  <c r="F3" i="1"/>
  <c r="F2" i="1"/>
  <c r="C5" i="1"/>
  <c r="C4" i="1"/>
  <c r="C3" i="1"/>
  <c r="C2" i="1"/>
  <c r="C1" i="1"/>
  <c r="C7" i="1" l="1"/>
  <c r="C6" i="1"/>
</calcChain>
</file>

<file path=xl/sharedStrings.xml><?xml version="1.0" encoding="utf-8"?>
<sst xmlns="http://schemas.openxmlformats.org/spreadsheetml/2006/main" count="20" uniqueCount="19">
  <si>
    <t>Mode</t>
  </si>
  <si>
    <t>Median</t>
  </si>
  <si>
    <t>Range</t>
  </si>
  <si>
    <t>Mean</t>
  </si>
  <si>
    <t>Std Dev</t>
  </si>
  <si>
    <t>Mean + std dev</t>
  </si>
  <si>
    <t>Mean - std dev</t>
  </si>
  <si>
    <t>165-169</t>
  </si>
  <si>
    <t>170-174</t>
  </si>
  <si>
    <t>175-179</t>
  </si>
  <si>
    <t>180-184</t>
  </si>
  <si>
    <t>185-189</t>
  </si>
  <si>
    <t>190-194</t>
  </si>
  <si>
    <t>Frequency</t>
  </si>
  <si>
    <t xml:space="preserve">IQR = </t>
  </si>
  <si>
    <t>q1 - iqr x 1.5</t>
  </si>
  <si>
    <t>q3 + iqr x 1.5</t>
  </si>
  <si>
    <t xml:space="preserve">quartile 1 = </t>
  </si>
  <si>
    <t xml:space="preserve">quartile 3=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</si>
</sst>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90286351706036749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Sheet1!$E$2:$E$7</c:f>
              <c:strCache>
                <c:ptCount val="6"/>
                <c:pt idx="0">
                  <c:v>165-169</c:v>
                </c:pt>
                <c:pt idx="1">
                  <c:v>170-174</c:v>
                </c:pt>
                <c:pt idx="2">
                  <c:v>175-179</c:v>
                </c:pt>
                <c:pt idx="3">
                  <c:v>180-184</c:v>
                </c:pt>
                <c:pt idx="4">
                  <c:v>185-189</c:v>
                </c:pt>
                <c:pt idx="5">
                  <c:v>190-194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D-4482-A484-7C4A32FFC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5"/>
        <c:axId val="406367544"/>
        <c:axId val="406367152"/>
      </c:barChart>
      <c:catAx>
        <c:axId val="406367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67152"/>
        <c:crosses val="autoZero"/>
        <c:auto val="1"/>
        <c:lblAlgn val="ctr"/>
        <c:lblOffset val="100"/>
        <c:noMultiLvlLbl val="0"/>
      </c:catAx>
      <c:valAx>
        <c:axId val="40636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67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5</xdr:row>
      <xdr:rowOff>180975</xdr:rowOff>
    </xdr:from>
    <xdr:to>
      <xdr:col>14</xdr:col>
      <xdr:colOff>457200</xdr:colOff>
      <xdr:row>20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E12" sqref="E12"/>
    </sheetView>
  </sheetViews>
  <sheetFormatPr defaultRowHeight="15" x14ac:dyDescent="0.25"/>
  <cols>
    <col min="1" max="1" width="9.140625" customWidth="1"/>
    <col min="2" max="2" width="17.7109375" customWidth="1"/>
    <col min="3" max="3" width="20.28515625" customWidth="1"/>
    <col min="6" max="6" width="11.140625" customWidth="1"/>
  </cols>
  <sheetData>
    <row r="1" spans="1:6" x14ac:dyDescent="0.25">
      <c r="A1">
        <v>166</v>
      </c>
      <c r="B1" t="s">
        <v>3</v>
      </c>
      <c r="C1">
        <f>AVERAGE(A:A)</f>
        <v>178.08695652173913</v>
      </c>
      <c r="E1" t="s">
        <v>2</v>
      </c>
      <c r="F1" t="s">
        <v>13</v>
      </c>
    </row>
    <row r="2" spans="1:6" x14ac:dyDescent="0.25">
      <c r="A2">
        <v>168</v>
      </c>
      <c r="B2" t="s">
        <v>0</v>
      </c>
      <c r="C2">
        <f>MODE(A:A)</f>
        <v>178</v>
      </c>
      <c r="E2" t="s">
        <v>7</v>
      </c>
      <c r="F2">
        <f>COUNTIF(A:A, "&lt;170")</f>
        <v>2</v>
      </c>
    </row>
    <row r="3" spans="1:6" x14ac:dyDescent="0.25">
      <c r="A3">
        <v>170</v>
      </c>
      <c r="B3" t="s">
        <v>1</v>
      </c>
      <c r="C3">
        <f>MEDIAN(A:A)</f>
        <v>178</v>
      </c>
      <c r="E3" t="s">
        <v>8</v>
      </c>
      <c r="F3">
        <f>COUNTIFS(A:A, "&gt;169",A:A, "&lt;175")</f>
        <v>4</v>
      </c>
    </row>
    <row r="4" spans="1:6" x14ac:dyDescent="0.25">
      <c r="A4">
        <v>170</v>
      </c>
      <c r="B4" t="s">
        <v>2</v>
      </c>
      <c r="C4">
        <f>MAX(A:A) - MIN(A:A)</f>
        <v>28</v>
      </c>
      <c r="E4" t="s">
        <v>9</v>
      </c>
      <c r="F4">
        <f>COUNTIFS(A:A, "&gt;174",A:A, "&lt;180")</f>
        <v>9</v>
      </c>
    </row>
    <row r="5" spans="1:6" x14ac:dyDescent="0.25">
      <c r="A5">
        <v>173</v>
      </c>
      <c r="B5" t="s">
        <v>4</v>
      </c>
      <c r="C5">
        <f>_xlfn.STDEV.P(A:A)</f>
        <v>6.7945825189488502</v>
      </c>
      <c r="E5" t="s">
        <v>10</v>
      </c>
      <c r="F5">
        <f>COUNTIFS(A:A, "&gt;179",A:A, "&lt;185")</f>
        <v>6</v>
      </c>
    </row>
    <row r="6" spans="1:6" x14ac:dyDescent="0.25">
      <c r="A6">
        <v>174</v>
      </c>
      <c r="B6" t="s">
        <v>5</v>
      </c>
      <c r="C6">
        <f>C1+C5</f>
        <v>184.88153904068798</v>
      </c>
      <c r="E6" t="s">
        <v>11</v>
      </c>
      <c r="F6">
        <f>COUNTIFS(A:A, "&gt;184",A:A, "&lt;190")</f>
        <v>0</v>
      </c>
    </row>
    <row r="7" spans="1:6" x14ac:dyDescent="0.25">
      <c r="A7">
        <v>175</v>
      </c>
      <c r="B7" t="s">
        <v>6</v>
      </c>
      <c r="C7">
        <f>C1-C5</f>
        <v>171.29237400279027</v>
      </c>
      <c r="E7" t="s">
        <v>12</v>
      </c>
      <c r="F7">
        <f>COUNTIFS(A:A, "&gt;189",A:A, "&lt;195")</f>
        <v>2</v>
      </c>
    </row>
    <row r="8" spans="1:6" x14ac:dyDescent="0.25">
      <c r="A8">
        <v>175</v>
      </c>
    </row>
    <row r="9" spans="1:6" x14ac:dyDescent="0.25">
      <c r="A9">
        <v>175</v>
      </c>
      <c r="B9" t="s">
        <v>17</v>
      </c>
      <c r="C9">
        <f>_xlfn.QUARTILE.EXC(A1:A23,1)</f>
        <v>174</v>
      </c>
    </row>
    <row r="10" spans="1:6" x14ac:dyDescent="0.25">
      <c r="A10">
        <v>176</v>
      </c>
      <c r="B10" t="s">
        <v>18</v>
      </c>
      <c r="C10">
        <f>_xlfn.QUARTILE.EXC(A1:A23,3)</f>
        <v>183</v>
      </c>
    </row>
    <row r="11" spans="1:6" x14ac:dyDescent="0.25">
      <c r="A11">
        <v>178</v>
      </c>
      <c r="B11" t="s">
        <v>14</v>
      </c>
      <c r="C11">
        <f>C10-C9</f>
        <v>9</v>
      </c>
    </row>
    <row r="12" spans="1:6" x14ac:dyDescent="0.25">
      <c r="A12" s="1">
        <v>178</v>
      </c>
      <c r="B12" t="s">
        <v>15</v>
      </c>
      <c r="C12">
        <f>C9-1.5*C11</f>
        <v>160.5</v>
      </c>
    </row>
    <row r="13" spans="1:6" x14ac:dyDescent="0.25">
      <c r="A13">
        <v>178</v>
      </c>
      <c r="B13" t="s">
        <v>16</v>
      </c>
      <c r="C13">
        <f>C9+1.5*C11</f>
        <v>187.5</v>
      </c>
    </row>
    <row r="14" spans="1:6" x14ac:dyDescent="0.25">
      <c r="A14">
        <v>178</v>
      </c>
    </row>
    <row r="15" spans="1:6" x14ac:dyDescent="0.25">
      <c r="A15">
        <v>179</v>
      </c>
    </row>
    <row r="16" spans="1:6" x14ac:dyDescent="0.25">
      <c r="A16">
        <v>181</v>
      </c>
    </row>
    <row r="17" spans="1:1" x14ac:dyDescent="0.25">
      <c r="A17">
        <v>182</v>
      </c>
    </row>
    <row r="18" spans="1:1" x14ac:dyDescent="0.25">
      <c r="A18">
        <v>183</v>
      </c>
    </row>
    <row r="19" spans="1:1" x14ac:dyDescent="0.25">
      <c r="A19">
        <v>183</v>
      </c>
    </row>
    <row r="20" spans="1:1" x14ac:dyDescent="0.25">
      <c r="A20">
        <v>183</v>
      </c>
    </row>
    <row r="21" spans="1:1" x14ac:dyDescent="0.25">
      <c r="A21">
        <v>184</v>
      </c>
    </row>
    <row r="22" spans="1:1" x14ac:dyDescent="0.25">
      <c r="A22">
        <v>193</v>
      </c>
    </row>
    <row r="23" spans="1:1" x14ac:dyDescent="0.25">
      <c r="A23">
        <v>194</v>
      </c>
    </row>
  </sheetData>
  <sortState ref="A1:A23">
    <sortCondition ref="A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E4007446</dc:creator>
  <cp:lastModifiedBy>e4007446</cp:lastModifiedBy>
  <dcterms:created xsi:type="dcterms:W3CDTF">2016-06-29T12:48:23Z</dcterms:created>
  <dcterms:modified xsi:type="dcterms:W3CDTF">2018-08-03T01:36:09Z</dcterms:modified>
</cp:coreProperties>
</file>