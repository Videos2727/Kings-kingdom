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4055281/Desktop/2021 foundies Assessments/"/>
    </mc:Choice>
  </mc:AlternateContent>
  <xr:revisionPtr revIDLastSave="0" documentId="8_{29E942F8-B0D2-8A4B-ABC1-C7E8A15A4250}" xr6:coauthVersionLast="45" xr6:coauthVersionMax="45" xr10:uidLastSave="{00000000-0000-0000-0000-000000000000}"/>
  <bookViews>
    <workbookView xWindow="5980" yWindow="460" windowWidth="27560" windowHeight="17040" xr2:uid="{B924D26F-790E-2C4E-8986-A30BA2AC80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C10" i="1"/>
  <c r="F8" i="1"/>
  <c r="E8" i="1"/>
  <c r="D8" i="1"/>
  <c r="E21" i="1"/>
  <c r="D21" i="1"/>
  <c r="F2" i="1"/>
  <c r="E2" i="1"/>
  <c r="C21" i="1"/>
  <c r="A21" i="1"/>
  <c r="D2" i="1"/>
</calcChain>
</file>

<file path=xl/sharedStrings.xml><?xml version="1.0" encoding="utf-8"?>
<sst xmlns="http://schemas.openxmlformats.org/spreadsheetml/2006/main" count="33" uniqueCount="32">
  <si>
    <t>WEEKLY</t>
  </si>
  <si>
    <t>Yearly</t>
  </si>
  <si>
    <t>Monthly</t>
  </si>
  <si>
    <t>Fortnightly</t>
  </si>
  <si>
    <t>fortnight</t>
  </si>
  <si>
    <t>Week</t>
  </si>
  <si>
    <t>TOTAL</t>
  </si>
  <si>
    <t>INCOME</t>
  </si>
  <si>
    <t>SPENDING</t>
  </si>
  <si>
    <t>bakery</t>
  </si>
  <si>
    <t>Resturant</t>
  </si>
  <si>
    <t>shoes</t>
  </si>
  <si>
    <t>appliances</t>
  </si>
  <si>
    <t>mobile phone</t>
  </si>
  <si>
    <t>childcare</t>
  </si>
  <si>
    <t>TV</t>
  </si>
  <si>
    <t>books</t>
  </si>
  <si>
    <t>holiday</t>
  </si>
  <si>
    <t>animals</t>
  </si>
  <si>
    <t>personal</t>
  </si>
  <si>
    <t>doctors</t>
  </si>
  <si>
    <t>grocerys</t>
  </si>
  <si>
    <t>Insurance</t>
  </si>
  <si>
    <t>Discretioanry</t>
  </si>
  <si>
    <t>Water</t>
  </si>
  <si>
    <t>Weekly</t>
  </si>
  <si>
    <t>Electrity</t>
  </si>
  <si>
    <t>gas</t>
  </si>
  <si>
    <t>Rates</t>
  </si>
  <si>
    <t>Left over amounts</t>
  </si>
  <si>
    <t>Mortgage or rent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</si>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</sst>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9" xfId="0" applyFont="1" applyFill="1" applyBorder="1"/>
    <xf numFmtId="0" fontId="0" fillId="2" borderId="10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5753-68F6-DE4C-9D19-D7048E93B1D7}">
  <dimension ref="A1:G22"/>
  <sheetViews>
    <sheetView tabSelected="1" workbookViewId="0">
      <selection activeCell="G14" sqref="G14"/>
    </sheetView>
  </sheetViews>
  <sheetFormatPr baseColWidth="10" defaultRowHeight="16" x14ac:dyDescent="0.2"/>
  <cols>
    <col min="2" max="2" width="14.83203125" customWidth="1"/>
  </cols>
  <sheetData>
    <row r="1" spans="1:7" x14ac:dyDescent="0.2">
      <c r="A1" s="3" t="s">
        <v>8</v>
      </c>
      <c r="B1" s="4" t="s">
        <v>25</v>
      </c>
      <c r="C1" s="14" t="s">
        <v>7</v>
      </c>
      <c r="D1" s="15"/>
      <c r="E1" s="15"/>
      <c r="F1" s="16"/>
    </row>
    <row r="2" spans="1:7" x14ac:dyDescent="0.2">
      <c r="A2" s="5">
        <v>20</v>
      </c>
      <c r="B2" s="6" t="s">
        <v>9</v>
      </c>
      <c r="C2" s="9">
        <v>89128</v>
      </c>
      <c r="D2" s="1">
        <f>SUM(89128/12)</f>
        <v>7427.333333333333</v>
      </c>
      <c r="E2" s="1">
        <f>SUM(C2/26)</f>
        <v>3428</v>
      </c>
      <c r="F2" s="10">
        <f>SUM(C2/52)</f>
        <v>1714</v>
      </c>
    </row>
    <row r="3" spans="1:7" ht="17" thickBot="1" x14ac:dyDescent="0.25">
      <c r="A3" s="5">
        <v>44</v>
      </c>
      <c r="B3" s="6" t="s">
        <v>10</v>
      </c>
      <c r="C3" s="11" t="s">
        <v>6</v>
      </c>
      <c r="D3" s="12" t="s">
        <v>2</v>
      </c>
      <c r="E3" s="12" t="s">
        <v>4</v>
      </c>
      <c r="F3" s="13" t="s">
        <v>5</v>
      </c>
    </row>
    <row r="4" spans="1:7" x14ac:dyDescent="0.2">
      <c r="A4" s="5">
        <v>8</v>
      </c>
      <c r="B4" s="6" t="s">
        <v>11</v>
      </c>
    </row>
    <row r="5" spans="1:7" x14ac:dyDescent="0.2">
      <c r="A5" s="5">
        <v>15</v>
      </c>
      <c r="B5" s="6" t="s">
        <v>12</v>
      </c>
      <c r="C5" t="s">
        <v>29</v>
      </c>
    </row>
    <row r="6" spans="1:7" x14ac:dyDescent="0.2">
      <c r="A6" s="5">
        <v>17</v>
      </c>
      <c r="B6" s="6" t="s">
        <v>13</v>
      </c>
    </row>
    <row r="7" spans="1:7" x14ac:dyDescent="0.2">
      <c r="A7" s="5">
        <v>18</v>
      </c>
      <c r="B7" s="6" t="s">
        <v>14</v>
      </c>
    </row>
    <row r="8" spans="1:7" x14ac:dyDescent="0.2">
      <c r="A8" s="5">
        <v>8</v>
      </c>
      <c r="B8" s="6" t="s">
        <v>15</v>
      </c>
      <c r="C8" s="9">
        <v>89128</v>
      </c>
      <c r="D8" s="1">
        <f>SUM(89128/12)</f>
        <v>7427.333333333333</v>
      </c>
      <c r="E8" s="1">
        <f>SUM(C8/26)</f>
        <v>3428</v>
      </c>
      <c r="F8" s="10">
        <f>SUM(C8/52)</f>
        <v>1714</v>
      </c>
    </row>
    <row r="9" spans="1:7" x14ac:dyDescent="0.2">
      <c r="A9" s="5">
        <v>6</v>
      </c>
      <c r="B9" s="6" t="s">
        <v>16</v>
      </c>
      <c r="C9">
        <v>50323</v>
      </c>
      <c r="D9">
        <v>4193.5829999999996</v>
      </c>
      <c r="E9">
        <v>1935.5</v>
      </c>
      <c r="F9">
        <v>967.75</v>
      </c>
    </row>
    <row r="10" spans="1:7" x14ac:dyDescent="0.2">
      <c r="A10" s="5">
        <v>77</v>
      </c>
      <c r="B10" s="6" t="s">
        <v>17</v>
      </c>
      <c r="C10">
        <f>SUM(C8-C9)</f>
        <v>38805</v>
      </c>
      <c r="D10">
        <f t="shared" ref="D10:F10" si="0">SUM(D8-D9)</f>
        <v>3233.7503333333334</v>
      </c>
      <c r="E10">
        <f t="shared" si="0"/>
        <v>1492.5</v>
      </c>
      <c r="F10">
        <f t="shared" si="0"/>
        <v>746.25</v>
      </c>
    </row>
    <row r="11" spans="1:7" x14ac:dyDescent="0.2">
      <c r="A11" s="5">
        <v>13</v>
      </c>
      <c r="B11" s="6" t="s">
        <v>18</v>
      </c>
      <c r="G11" t="s">
        <v>30</v>
      </c>
    </row>
    <row r="12" spans="1:7" x14ac:dyDescent="0.2">
      <c r="A12" s="5">
        <v>29</v>
      </c>
      <c r="B12" s="6" t="s">
        <v>19</v>
      </c>
    </row>
    <row r="13" spans="1:7" x14ac:dyDescent="0.2">
      <c r="A13" s="5">
        <v>24</v>
      </c>
      <c r="B13" s="6" t="s">
        <v>20</v>
      </c>
    </row>
    <row r="14" spans="1:7" x14ac:dyDescent="0.2">
      <c r="A14" s="5">
        <v>120</v>
      </c>
      <c r="B14" s="6" t="s">
        <v>21</v>
      </c>
      <c r="G14" t="s">
        <v>31</v>
      </c>
    </row>
    <row r="15" spans="1:7" x14ac:dyDescent="0.2">
      <c r="A15" s="5">
        <v>45</v>
      </c>
      <c r="B15" s="6" t="s">
        <v>22</v>
      </c>
    </row>
    <row r="16" spans="1:7" x14ac:dyDescent="0.2">
      <c r="A16" s="5">
        <v>50</v>
      </c>
      <c r="B16" s="6" t="s">
        <v>23</v>
      </c>
    </row>
    <row r="17" spans="1:5" x14ac:dyDescent="0.2">
      <c r="A17" s="5">
        <v>105</v>
      </c>
      <c r="B17" s="6" t="s">
        <v>24</v>
      </c>
    </row>
    <row r="18" spans="1:5" x14ac:dyDescent="0.2">
      <c r="A18" s="5">
        <v>160</v>
      </c>
      <c r="B18" s="6" t="s">
        <v>26</v>
      </c>
    </row>
    <row r="19" spans="1:5" x14ac:dyDescent="0.2">
      <c r="A19" s="5">
        <v>30</v>
      </c>
      <c r="B19" s="6" t="s">
        <v>27</v>
      </c>
    </row>
    <row r="20" spans="1:5" ht="17" thickBot="1" x14ac:dyDescent="0.25">
      <c r="A20" s="7">
        <v>178.75</v>
      </c>
      <c r="B20" s="8" t="s">
        <v>28</v>
      </c>
    </row>
    <row r="21" spans="1:5" x14ac:dyDescent="0.2">
      <c r="A21" s="2">
        <f>SUM(A2:A20)</f>
        <v>967.75</v>
      </c>
      <c r="C21">
        <f>SUM(A21*52)</f>
        <v>50323</v>
      </c>
      <c r="D21">
        <f>SUM(C21/12)</f>
        <v>4193.583333333333</v>
      </c>
      <c r="E21">
        <f>SUM(A21*2)</f>
        <v>1935.5</v>
      </c>
    </row>
    <row r="22" spans="1:5" x14ac:dyDescent="0.2">
      <c r="A22" t="s">
        <v>0</v>
      </c>
      <c r="C22" t="s">
        <v>1</v>
      </c>
      <c r="D22" t="s">
        <v>2</v>
      </c>
      <c r="E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2020-12-07T01:11:01Z</dcterms:created>
  <dcterms:modified xsi:type="dcterms:W3CDTF">2020-12-07T01:28:23Z</dcterms:modified>
</cp:coreProperties>
</file>